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 Log" sheetId="1" r:id="rId4"/>
    <sheet state="visible" name="Resumen" sheetId="2" r:id="rId5"/>
  </sheets>
  <definedNames/>
  <calcPr/>
  <extLst>
    <ext uri="GoogleSheetsCustomDataVersion2">
      <go:sheetsCustomData xmlns:go="http://customooxmlschemas.google.com/" r:id="rId6" roundtripDataChecksum="OhQR4F8+1FwsQPa1yBX45pmBnE35EEMB1xvvz1pcCiw="/>
    </ext>
  </extLst>
</workbook>
</file>

<file path=xl/sharedStrings.xml><?xml version="1.0" encoding="utf-8"?>
<sst xmlns="http://schemas.openxmlformats.org/spreadsheetml/2006/main" count="46" uniqueCount="38">
  <si>
    <t>Registro de Impedimentos (Impediment Log)</t>
  </si>
  <si>
    <t>Completar solo las celdas resaltadas en amarillo. La columna 'Días abierto' y el resumen se calculan automáticamente.</t>
  </si>
  <si>
    <t>ID</t>
  </si>
  <si>
    <t>Fecha reportado</t>
  </si>
  <si>
    <t>Resumen de Impedimentos</t>
  </si>
  <si>
    <t>Impedimento</t>
  </si>
  <si>
    <t>Descripción</t>
  </si>
  <si>
    <t>Reportado por</t>
  </si>
  <si>
    <t>Responsable</t>
  </si>
  <si>
    <t>Estado</t>
  </si>
  <si>
    <t>Fecha resolución</t>
  </si>
  <si>
    <t>Días abierto</t>
  </si>
  <si>
    <t>Notas / Acciones</t>
  </si>
  <si>
    <t>Falta de lista de proveedores</t>
  </si>
  <si>
    <t>Cantidad</t>
  </si>
  <si>
    <t>El equipo no cuenta con la lista de proveedores de nury's para ingresarlo en la base de datos</t>
  </si>
  <si>
    <t>Sebastian Sepulveda</t>
  </si>
  <si>
    <t>Abierto</t>
  </si>
  <si>
    <t>Maher Darwish</t>
  </si>
  <si>
    <t>Cerrado</t>
  </si>
  <si>
    <t>-</t>
  </si>
  <si>
    <t>Falta SKU de productos</t>
  </si>
  <si>
    <t>La lista no cuenta con los SKU de los productos que se venden en el negocio</t>
  </si>
  <si>
    <t>Nelson 
Alfaro</t>
  </si>
  <si>
    <t>Sin conexion en BD</t>
  </si>
  <si>
    <t>pgAdmin pide contraseña para poder ingresar, al ingresar una contraseña valida da un error</t>
  </si>
  <si>
    <t>En progreso</t>
  </si>
  <si>
    <t>Escalado</t>
  </si>
  <si>
    <t>Resuelto</t>
  </si>
  <si>
    <t>Total</t>
  </si>
  <si>
    <t>Prioridad</t>
  </si>
  <si>
    <t>Baja</t>
  </si>
  <si>
    <t>Leyenda: celdas amarillas = completar manualmente · ID y Días abierto se calculan solos · fila 5 es un ejemplo de referencia.</t>
  </si>
  <si>
    <t>Media</t>
  </si>
  <si>
    <t>Alta</t>
  </si>
  <si>
    <t>Urgente</t>
  </si>
  <si>
    <t>Impedimentos activos (no resueltos)</t>
  </si>
  <si>
    <t>Estos totales se actualizan automáticamente a partir de la hoja 'Impediment Log'.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</si>
</sst>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595959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9.0"/>
      <color rgb="FF59595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2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3" fontId="5" numFmtId="164" xfId="0" applyAlignment="1" applyBorder="1" applyFill="1" applyFont="1" applyNumberFormat="1">
      <alignment horizontal="center" readingOrder="0" shrinkToFit="0" vertical="center" wrapText="1"/>
    </xf>
    <xf borderId="4" fillId="3" fontId="5" numFmtId="0" xfId="0" applyAlignment="1" applyBorder="1" applyFill="1" applyFont="1">
      <alignment horizontal="left" readingOrder="0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shrinkToFit="0" vertical="bottom" wrapText="0"/>
    </xf>
    <xf borderId="4" fillId="0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4" fillId="3" fontId="5" numFmtId="164" xfId="0" applyAlignment="1" applyBorder="1" applyFill="1" applyFont="1" applyNumberForma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6.0"/>
    <col customWidth="1" min="3" max="3" width="22.0"/>
    <col customWidth="1" min="4" max="4" width="34.0"/>
    <col customWidth="1" min="5" max="6" width="16.0"/>
    <col customWidth="1" min="7" max="7" width="14.0"/>
    <col customWidth="1" min="8" max="8" width="16.0"/>
    <col customWidth="1" min="9" max="9" width="12.0"/>
    <col customWidth="1" min="10" max="10" width="32.0"/>
    <col customWidth="1" min="11" max="24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 t="s">
        <v>1</v>
      </c>
    </row>
    <row r="4" ht="30.0" customHeight="1">
      <c r="A4" s="5" t="s">
        <v>2</v>
      </c>
      <c r="B4" s="5" t="s">
        <v>3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</row>
    <row r="5">
      <c r="A5" s="6">
        <v>1.0</v>
      </c>
      <c r="B5" s="7">
        <v>46279.0</v>
      </c>
      <c r="C5" s="8" t="s">
        <v>13</v>
      </c>
      <c r="D5" s="8" t="s">
        <v>15</v>
      </c>
      <c r="E5" s="9" t="s">
        <v>16</v>
      </c>
      <c r="F5" s="9" t="s">
        <v>18</v>
      </c>
      <c r="G5" s="9" t="s">
        <v>19</v>
      </c>
      <c r="H5" s="7">
        <v>46279.0</v>
      </c>
      <c r="I5" s="11">
        <f t="shared" ref="I5:I29" si="1">IF(C5="","",IF(H5="",TODAY()-B5,H5-B5))</f>
        <v>0</v>
      </c>
      <c r="J5" s="8" t="s">
        <v>20</v>
      </c>
    </row>
    <row r="6">
      <c r="A6" s="6">
        <v>2.0</v>
      </c>
      <c r="B6" s="7">
        <v>46286.0</v>
      </c>
      <c r="C6" s="8" t="s">
        <v>21</v>
      </c>
      <c r="D6" s="8" t="s">
        <v>22</v>
      </c>
      <c r="E6" s="9" t="s">
        <v>23</v>
      </c>
      <c r="F6" s="9" t="s">
        <v>18</v>
      </c>
      <c r="G6" s="9" t="s">
        <v>19</v>
      </c>
      <c r="H6" s="7">
        <v>46287.0</v>
      </c>
      <c r="I6" s="11">
        <f t="shared" si="1"/>
        <v>1</v>
      </c>
      <c r="J6" s="12"/>
    </row>
    <row r="7">
      <c r="A7" s="6">
        <v>3.0</v>
      </c>
      <c r="B7" s="7">
        <v>46292.0</v>
      </c>
      <c r="C7" s="8" t="s">
        <v>24</v>
      </c>
      <c r="D7" s="8" t="s">
        <v>25</v>
      </c>
      <c r="E7" s="9" t="s">
        <v>16</v>
      </c>
      <c r="F7" s="9" t="s">
        <v>23</v>
      </c>
      <c r="G7" s="9" t="s">
        <v>19</v>
      </c>
      <c r="H7" s="7">
        <v>46293.0</v>
      </c>
      <c r="I7" s="11">
        <f t="shared" si="1"/>
        <v>1</v>
      </c>
      <c r="J7" s="12"/>
    </row>
    <row r="8" ht="19.5" customHeight="1">
      <c r="A8" s="11" t="str">
        <f t="shared" ref="A8:A29" si="2">IF(C8="","",ROW()-4)</f>
        <v/>
      </c>
      <c r="B8" s="13"/>
      <c r="C8" s="12"/>
      <c r="D8" s="12"/>
      <c r="E8" s="14"/>
      <c r="F8" s="14"/>
      <c r="G8" s="14"/>
      <c r="H8" s="13"/>
      <c r="I8" s="11" t="str">
        <f t="shared" si="1"/>
        <v/>
      </c>
      <c r="J8" s="12"/>
    </row>
    <row r="9" ht="19.5" customHeight="1">
      <c r="A9" s="11" t="str">
        <f t="shared" si="2"/>
        <v/>
      </c>
      <c r="B9" s="13"/>
      <c r="C9" s="12"/>
      <c r="D9" s="12"/>
      <c r="E9" s="14"/>
      <c r="F9" s="14"/>
      <c r="G9" s="14"/>
      <c r="H9" s="13"/>
      <c r="I9" s="11" t="str">
        <f t="shared" si="1"/>
        <v/>
      </c>
      <c r="J9" s="12"/>
    </row>
    <row r="10" ht="19.5" customHeight="1">
      <c r="A10" s="11" t="str">
        <f t="shared" si="2"/>
        <v/>
      </c>
      <c r="B10" s="13"/>
      <c r="C10" s="12"/>
      <c r="D10" s="12"/>
      <c r="E10" s="14"/>
      <c r="F10" s="14"/>
      <c r="G10" s="14"/>
      <c r="H10" s="13"/>
      <c r="I10" s="11" t="str">
        <f t="shared" si="1"/>
        <v/>
      </c>
      <c r="J10" s="12"/>
    </row>
    <row r="11" ht="19.5" customHeight="1">
      <c r="A11" s="11" t="str">
        <f t="shared" si="2"/>
        <v/>
      </c>
      <c r="B11" s="13"/>
      <c r="C11" s="12"/>
      <c r="D11" s="12"/>
      <c r="E11" s="14"/>
      <c r="F11" s="14"/>
      <c r="G11" s="14"/>
      <c r="H11" s="13"/>
      <c r="I11" s="11" t="str">
        <f t="shared" si="1"/>
        <v/>
      </c>
      <c r="J11" s="12"/>
    </row>
    <row r="12" ht="19.5" customHeight="1">
      <c r="A12" s="11" t="str">
        <f t="shared" si="2"/>
        <v/>
      </c>
      <c r="B12" s="13"/>
      <c r="C12" s="12"/>
      <c r="D12" s="12"/>
      <c r="E12" s="14"/>
      <c r="F12" s="14"/>
      <c r="G12" s="14"/>
      <c r="H12" s="13"/>
      <c r="I12" s="11" t="str">
        <f t="shared" si="1"/>
        <v/>
      </c>
      <c r="J12" s="12"/>
    </row>
    <row r="13" ht="19.5" customHeight="1">
      <c r="A13" s="11" t="str">
        <f t="shared" si="2"/>
        <v/>
      </c>
      <c r="B13" s="13"/>
      <c r="C13" s="12"/>
      <c r="D13" s="12"/>
      <c r="E13" s="14"/>
      <c r="F13" s="14"/>
      <c r="G13" s="14"/>
      <c r="H13" s="13"/>
      <c r="I13" s="11" t="str">
        <f t="shared" si="1"/>
        <v/>
      </c>
      <c r="J13" s="12"/>
    </row>
    <row r="14" ht="19.5" customHeight="1">
      <c r="A14" s="11" t="str">
        <f t="shared" si="2"/>
        <v/>
      </c>
      <c r="B14" s="13"/>
      <c r="C14" s="12"/>
      <c r="D14" s="12"/>
      <c r="E14" s="14"/>
      <c r="F14" s="14"/>
      <c r="G14" s="14"/>
      <c r="H14" s="13"/>
      <c r="I14" s="11" t="str">
        <f t="shared" si="1"/>
        <v/>
      </c>
      <c r="J14" s="12"/>
    </row>
    <row r="15" ht="19.5" customHeight="1">
      <c r="A15" s="11" t="str">
        <f t="shared" si="2"/>
        <v/>
      </c>
      <c r="B15" s="13"/>
      <c r="C15" s="12"/>
      <c r="D15" s="12"/>
      <c r="E15" s="14"/>
      <c r="F15" s="14"/>
      <c r="G15" s="14"/>
      <c r="H15" s="13"/>
      <c r="I15" s="11" t="str">
        <f t="shared" si="1"/>
        <v/>
      </c>
      <c r="J15" s="12"/>
    </row>
    <row r="16" ht="19.5" customHeight="1">
      <c r="A16" s="11" t="str">
        <f t="shared" si="2"/>
        <v/>
      </c>
      <c r="B16" s="13"/>
      <c r="C16" s="12"/>
      <c r="D16" s="12"/>
      <c r="E16" s="14"/>
      <c r="F16" s="14"/>
      <c r="G16" s="14"/>
      <c r="H16" s="13"/>
      <c r="I16" s="11" t="str">
        <f t="shared" si="1"/>
        <v/>
      </c>
      <c r="J16" s="12"/>
    </row>
    <row r="17" ht="19.5" customHeight="1">
      <c r="A17" s="11" t="str">
        <f t="shared" si="2"/>
        <v/>
      </c>
      <c r="B17" s="13"/>
      <c r="C17" s="12"/>
      <c r="D17" s="12"/>
      <c r="E17" s="14"/>
      <c r="F17" s="14"/>
      <c r="G17" s="14"/>
      <c r="H17" s="13"/>
      <c r="I17" s="11" t="str">
        <f t="shared" si="1"/>
        <v/>
      </c>
      <c r="J17" s="12"/>
    </row>
    <row r="18" ht="19.5" customHeight="1">
      <c r="A18" s="11" t="str">
        <f t="shared" si="2"/>
        <v/>
      </c>
      <c r="B18" s="13"/>
      <c r="C18" s="12"/>
      <c r="D18" s="12"/>
      <c r="E18" s="14"/>
      <c r="F18" s="14"/>
      <c r="G18" s="14"/>
      <c r="H18" s="13"/>
      <c r="I18" s="11" t="str">
        <f t="shared" si="1"/>
        <v/>
      </c>
      <c r="J18" s="12"/>
    </row>
    <row r="19" ht="19.5" customHeight="1">
      <c r="A19" s="11" t="str">
        <f t="shared" si="2"/>
        <v/>
      </c>
      <c r="B19" s="13"/>
      <c r="C19" s="12"/>
      <c r="D19" s="12"/>
      <c r="E19" s="14"/>
      <c r="F19" s="14"/>
      <c r="G19" s="14"/>
      <c r="H19" s="13"/>
      <c r="I19" s="11" t="str">
        <f t="shared" si="1"/>
        <v/>
      </c>
      <c r="J19" s="12"/>
    </row>
    <row r="20" ht="19.5" customHeight="1">
      <c r="A20" s="11" t="str">
        <f t="shared" si="2"/>
        <v/>
      </c>
      <c r="B20" s="13"/>
      <c r="C20" s="12"/>
      <c r="D20" s="12"/>
      <c r="E20" s="14"/>
      <c r="F20" s="14"/>
      <c r="G20" s="14"/>
      <c r="H20" s="13"/>
      <c r="I20" s="11" t="str">
        <f t="shared" si="1"/>
        <v/>
      </c>
      <c r="J20" s="12"/>
    </row>
    <row r="21" ht="19.5" customHeight="1">
      <c r="A21" s="11" t="str">
        <f t="shared" si="2"/>
        <v/>
      </c>
      <c r="B21" s="13"/>
      <c r="C21" s="12"/>
      <c r="D21" s="12"/>
      <c r="E21" s="14"/>
      <c r="F21" s="14"/>
      <c r="G21" s="14"/>
      <c r="H21" s="13"/>
      <c r="I21" s="11" t="str">
        <f t="shared" si="1"/>
        <v/>
      </c>
      <c r="J21" s="12"/>
    </row>
    <row r="22" ht="19.5" customHeight="1">
      <c r="A22" s="11" t="str">
        <f t="shared" si="2"/>
        <v/>
      </c>
      <c r="B22" s="13"/>
      <c r="C22" s="12"/>
      <c r="D22" s="12"/>
      <c r="E22" s="14"/>
      <c r="F22" s="14"/>
      <c r="G22" s="14"/>
      <c r="H22" s="13"/>
      <c r="I22" s="11" t="str">
        <f t="shared" si="1"/>
        <v/>
      </c>
      <c r="J22" s="12"/>
    </row>
    <row r="23" ht="19.5" customHeight="1">
      <c r="A23" s="11" t="str">
        <f t="shared" si="2"/>
        <v/>
      </c>
      <c r="B23" s="13"/>
      <c r="C23" s="12"/>
      <c r="D23" s="12"/>
      <c r="E23" s="14"/>
      <c r="F23" s="14"/>
      <c r="G23" s="14"/>
      <c r="H23" s="13"/>
      <c r="I23" s="11" t="str">
        <f t="shared" si="1"/>
        <v/>
      </c>
      <c r="J23" s="12"/>
    </row>
    <row r="24" ht="19.5" customHeight="1">
      <c r="A24" s="11" t="str">
        <f t="shared" si="2"/>
        <v/>
      </c>
      <c r="B24" s="13"/>
      <c r="C24" s="12"/>
      <c r="D24" s="12"/>
      <c r="E24" s="14"/>
      <c r="F24" s="14"/>
      <c r="G24" s="14"/>
      <c r="H24" s="13"/>
      <c r="I24" s="11" t="str">
        <f t="shared" si="1"/>
        <v/>
      </c>
      <c r="J24" s="12"/>
    </row>
    <row r="25" ht="19.5" customHeight="1">
      <c r="A25" s="11" t="str">
        <f t="shared" si="2"/>
        <v/>
      </c>
      <c r="B25" s="13"/>
      <c r="C25" s="12"/>
      <c r="D25" s="12"/>
      <c r="E25" s="14"/>
      <c r="F25" s="14"/>
      <c r="G25" s="14"/>
      <c r="H25" s="13"/>
      <c r="I25" s="11" t="str">
        <f t="shared" si="1"/>
        <v/>
      </c>
      <c r="J25" s="12"/>
    </row>
    <row r="26" ht="19.5" customHeight="1">
      <c r="A26" s="11" t="str">
        <f t="shared" si="2"/>
        <v/>
      </c>
      <c r="B26" s="13"/>
      <c r="C26" s="12"/>
      <c r="D26" s="12"/>
      <c r="E26" s="14"/>
      <c r="F26" s="14"/>
      <c r="G26" s="14"/>
      <c r="H26" s="13"/>
      <c r="I26" s="11" t="str">
        <f t="shared" si="1"/>
        <v/>
      </c>
      <c r="J26" s="12"/>
    </row>
    <row r="27" ht="19.5" customHeight="1">
      <c r="A27" s="11" t="str">
        <f t="shared" si="2"/>
        <v/>
      </c>
      <c r="B27" s="13"/>
      <c r="C27" s="12"/>
      <c r="D27" s="12"/>
      <c r="E27" s="14"/>
      <c r="F27" s="14"/>
      <c r="G27" s="14"/>
      <c r="H27" s="13"/>
      <c r="I27" s="11" t="str">
        <f t="shared" si="1"/>
        <v/>
      </c>
      <c r="J27" s="12"/>
    </row>
    <row r="28" ht="19.5" customHeight="1">
      <c r="A28" s="11" t="str">
        <f t="shared" si="2"/>
        <v/>
      </c>
      <c r="B28" s="13"/>
      <c r="C28" s="12"/>
      <c r="D28" s="12"/>
      <c r="E28" s="14"/>
      <c r="F28" s="14"/>
      <c r="G28" s="14"/>
      <c r="H28" s="13"/>
      <c r="I28" s="11" t="str">
        <f t="shared" si="1"/>
        <v/>
      </c>
      <c r="J28" s="12"/>
    </row>
    <row r="29" ht="19.5" customHeight="1">
      <c r="A29" s="11" t="str">
        <f t="shared" si="2"/>
        <v/>
      </c>
      <c r="B29" s="13"/>
      <c r="C29" s="12"/>
      <c r="D29" s="12"/>
      <c r="E29" s="14"/>
      <c r="F29" s="14"/>
      <c r="G29" s="14"/>
      <c r="H29" s="13"/>
      <c r="I29" s="11" t="str">
        <f t="shared" si="1"/>
        <v/>
      </c>
      <c r="J29" s="12"/>
    </row>
    <row r="30" ht="15.75" customHeight="1"/>
    <row r="31" ht="15.75" customHeight="1">
      <c r="A31" s="17" t="s">
        <v>32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J1"/>
    <mergeCell ref="A2:J2"/>
    <mergeCell ref="A31:J31"/>
  </mergeCells>
  <conditionalFormatting sqref="G5:G29">
    <cfRule type="cellIs" dxfId="0" priority="1" operator="equal">
      <formula>"Abierto"</formula>
    </cfRule>
  </conditionalFormatting>
  <conditionalFormatting sqref="G5:G29">
    <cfRule type="cellIs" dxfId="1" priority="2" operator="equal">
      <formula>"En progreso"</formula>
    </cfRule>
  </conditionalFormatting>
  <conditionalFormatting sqref="G5:G29">
    <cfRule type="cellIs" dxfId="2" priority="3" operator="equal">
      <formula>"Escalado"</formula>
    </cfRule>
  </conditionalFormatting>
  <conditionalFormatting sqref="G5:G29">
    <cfRule type="cellIs" dxfId="3" priority="4" operator="equal">
      <formula>"Resuelto"</formula>
    </cfRule>
  </conditionalFormatting>
  <conditionalFormatting sqref="G5:G29">
    <cfRule type="cellIs" dxfId="4" priority="5" operator="equal">
      <formula>"Cerrado"</formula>
    </cfRule>
  </conditionalFormatting>
  <dataValidations>
    <dataValidation type="list" allowBlank="1" sqref="G5:G29">
      <formula1>"Abierto,En progreso,Escalado,Resuelto,Cerrado"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4.0"/>
    <col customWidth="1" min="3" max="3" width="40.0"/>
    <col customWidth="1" min="4" max="26" width="8.71"/>
  </cols>
  <sheetData>
    <row r="1" ht="27.75" customHeight="1">
      <c r="A1" s="1" t="s">
        <v>4</v>
      </c>
      <c r="B1" s="2"/>
      <c r="C1" s="3"/>
    </row>
    <row r="2">
      <c r="A2" s="5" t="s">
        <v>9</v>
      </c>
      <c r="B2" s="5" t="s">
        <v>14</v>
      </c>
    </row>
    <row r="3">
      <c r="A3" s="10" t="s">
        <v>17</v>
      </c>
      <c r="B3" s="11">
        <f>COUNTIF('Impediment Log'!$G$5:$G$29,A3)</f>
        <v>0</v>
      </c>
    </row>
    <row r="4">
      <c r="A4" s="10" t="s">
        <v>26</v>
      </c>
      <c r="B4" s="11">
        <f>COUNTIF('Impediment Log'!$G$5:$G$29,A4)</f>
        <v>0</v>
      </c>
    </row>
    <row r="5">
      <c r="A5" s="10" t="s">
        <v>27</v>
      </c>
      <c r="B5" s="11">
        <f>COUNTIF('Impediment Log'!$G$5:$G$29,A5)</f>
        <v>0</v>
      </c>
    </row>
    <row r="6">
      <c r="A6" s="10" t="s">
        <v>28</v>
      </c>
      <c r="B6" s="11">
        <f>COUNTIF('Impediment Log'!$G$5:$G$29,A6)</f>
        <v>0</v>
      </c>
    </row>
    <row r="7">
      <c r="A7" s="10" t="s">
        <v>19</v>
      </c>
      <c r="B7" s="11">
        <f>COUNTIF('Impediment Log'!$G$5:$G$29,A7)</f>
        <v>3</v>
      </c>
    </row>
    <row r="8">
      <c r="A8" s="15" t="s">
        <v>29</v>
      </c>
      <c r="B8" s="16">
        <f>SUM(B3:B7)</f>
        <v>3</v>
      </c>
    </row>
    <row r="10">
      <c r="A10" s="5" t="s">
        <v>30</v>
      </c>
      <c r="B10" s="5" t="s">
        <v>14</v>
      </c>
    </row>
    <row r="11">
      <c r="A11" s="10" t="s">
        <v>31</v>
      </c>
      <c r="B11" s="11">
        <f t="shared" ref="B11:B14" si="1">COUNTIF(#REF!,A11)</f>
        <v>0</v>
      </c>
    </row>
    <row r="12">
      <c r="A12" s="10" t="s">
        <v>33</v>
      </c>
      <c r="B12" s="11">
        <f t="shared" si="1"/>
        <v>0</v>
      </c>
    </row>
    <row r="13">
      <c r="A13" s="10" t="s">
        <v>34</v>
      </c>
      <c r="B13" s="11">
        <f t="shared" si="1"/>
        <v>0</v>
      </c>
    </row>
    <row r="14">
      <c r="A14" s="10" t="s">
        <v>35</v>
      </c>
      <c r="B14" s="11">
        <f t="shared" si="1"/>
        <v>0</v>
      </c>
    </row>
    <row r="17">
      <c r="A17" s="15" t="s">
        <v>36</v>
      </c>
      <c r="B17" s="16">
        <f>B3+B4+B5</f>
        <v>0</v>
      </c>
    </row>
    <row r="19">
      <c r="A19" s="17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19:C1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2026-09-19T14:05:19Z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