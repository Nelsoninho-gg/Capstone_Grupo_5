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strucciones" sheetId="1" r:id="rId4"/>
    <sheet state="visible" name="Plan de Pruebas" sheetId="2" r:id="rId5"/>
    <sheet state="visible" name="Resumen" sheetId="3" r:id="rId6"/>
    <sheet state="visible" name="Listas" sheetId="4" r:id="rId7"/>
  </sheets>
  <definedNames/>
  <calcPr/>
  <extLst>
    <ext uri="GoogleSheetsCustomDataVersion2">
      <go:sheetsCustomData xmlns:go="http://customooxmlschemas.google.com/" r:id="rId8" roundtripDataChecksum="ZUIatGh6Gi/t4zUH7qgElt940PKXo3OFCaiWphHDLc8="/>
    </ext>
  </extLst>
</workbook>
</file>

<file path=xl/sharedStrings.xml><?xml version="1.0" encoding="utf-8"?>
<sst xmlns="http://schemas.openxmlformats.org/spreadsheetml/2006/main" count="850" uniqueCount="453">
  <si>
    <t>Plan de Pruebas — NuryBase</t>
  </si>
  <si>
    <t>Resumen del plan de pruebas</t>
  </si>
  <si>
    <t>Proyecto Capstone · Tablero Trello "NuryBase - Sprint 1"</t>
  </si>
  <si>
    <t>Se actualiza solo: cuenta las filas de la hoja «Plan de Pruebas».</t>
  </si>
  <si>
    <t>Cómo usar esta planilla</t>
  </si>
  <si>
    <t>1.</t>
  </si>
  <si>
    <t>Total de casos</t>
  </si>
  <si>
    <t>Categoría</t>
  </si>
  <si>
    <t>La hoja «Plan de Pruebas» tiene una fila por cada criterio de aceptación. Los criterios fueron tomados tal cual de las tarjetas del tablero de Trello.</t>
  </si>
  <si>
    <t>ID Caso</t>
  </si>
  <si>
    <t>Estado</t>
  </si>
  <si>
    <t>Prioridad</t>
  </si>
  <si>
    <t>Sprint</t>
  </si>
  <si>
    <t>2.</t>
  </si>
  <si>
    <t>Responsable</t>
  </si>
  <si>
    <t>Las columnas Categoría, Prioridad, Sprint, Responsable y Estado son desplegables: haz clic en la celda y baja la pestañita para elegir el valor.</t>
  </si>
  <si>
    <t>3.</t>
  </si>
  <si>
    <t>Historia de usuario</t>
  </si>
  <si>
    <t>Backend</t>
  </si>
  <si>
    <t>Para agregar una prueba nueva, escribe en la primera fila vacía. Los desplegables ya están preparados hasta la fila 300, así que funcionan solos.</t>
  </si>
  <si>
    <t>Criterio de aceptación</t>
  </si>
  <si>
    <t>4.</t>
  </si>
  <si>
    <t>Pendiente</t>
  </si>
  <si>
    <t>Para agregar opciones nuevas a un desplegable (una categoría, un integrante, un sprint), escríbela en la hoja «Listas» en la primera celda libre de esa columna. Hay filas de sobra reservadas.</t>
  </si>
  <si>
    <t>MUST</t>
  </si>
  <si>
    <t>5.</t>
  </si>
  <si>
    <t>Sprint 1</t>
  </si>
  <si>
    <t>Maher Darwish</t>
  </si>
  <si>
    <t>La hoja «Resumen» se actualiza sola con fórmulas: cuenta los casos por estado y por categoría.</t>
  </si>
  <si>
    <t>Agrega nuevas opciones en la primera celda libre de cada columna (hay espacio hasta la fila 20).</t>
  </si>
  <si>
    <t>Precondición</t>
  </si>
  <si>
    <t>Pasos a ejecutar</t>
  </si>
  <si>
    <t>Frontend</t>
  </si>
  <si>
    <t>En progreso</t>
  </si>
  <si>
    <t>Resultado esperado</t>
  </si>
  <si>
    <t>Por estado</t>
  </si>
  <si>
    <t>SHOULD</t>
  </si>
  <si>
    <t>Sprint 2</t>
  </si>
  <si>
    <t>Nelson Alfaro</t>
  </si>
  <si>
    <t>Fecha de ejecución</t>
  </si>
  <si>
    <t>Convención de ID</t>
  </si>
  <si>
    <t>Base de datos</t>
  </si>
  <si>
    <t>Evidencia / Observaciones</t>
  </si>
  <si>
    <t>Aprobado</t>
  </si>
  <si>
    <t>COULD</t>
  </si>
  <si>
    <t>CP-&lt;Historia&gt;-&lt;correlativo&gt;. Ejemplo: CP-H2.4-02 es el segundo caso de prueba de la historia H2.4.</t>
  </si>
  <si>
    <t>Casos</t>
  </si>
  <si>
    <t>Sprint 3</t>
  </si>
  <si>
    <t>Patricio Menares</t>
  </si>
  <si>
    <t>Significado de los estados</t>
  </si>
  <si>
    <t>CP-H1.1-01</t>
  </si>
  <si>
    <t>Integración</t>
  </si>
  <si>
    <t>El caso todavía no se ejecuta.</t>
  </si>
  <si>
    <t>Fallido</t>
  </si>
  <si>
    <t>WON'T</t>
  </si>
  <si>
    <t>Sprint 4</t>
  </si>
  <si>
    <t>Sebastián Sepúlveda</t>
  </si>
  <si>
    <t>Se está ejecutando o está en corrección.</t>
  </si>
  <si>
    <t>Seguridad</t>
  </si>
  <si>
    <t>H1.1 Autenticación de usuarios</t>
  </si>
  <si>
    <t>Bloqueado</t>
  </si>
  <si>
    <t>Se ejecutó y el resultado obtenido coincide con el esperado.</t>
  </si>
  <si>
    <t>Sprint 5</t>
  </si>
  <si>
    <t>Por asignar</t>
  </si>
  <si>
    <t>Se ejecutó y no cumple el criterio. Deja el detalle en Evidencia / Observaciones.</t>
  </si>
  <si>
    <t>Con credenciales válidas, el usuario puede iniciar sesión y acceder al sistema.</t>
  </si>
  <si>
    <t>UI/UX</t>
  </si>
  <si>
    <t>No se puede ejecutar todavía (depende de otra tarea o de un ambiente que no está listo).</t>
  </si>
  <si>
    <t>No aplica</t>
  </si>
  <si>
    <t>Sprint 6</t>
  </si>
  <si>
    <t>El criterio quedó fuera de alcance para este sprint.</t>
  </si>
  <si>
    <t>Existe un usuario activo con credenciales conocidas.</t>
  </si>
  <si>
    <t>1. Abrir la pantalla de login.
2. Ingresar usuario y contraseña válidos.
3. Presionar Iniciar sesión.</t>
  </si>
  <si>
    <t>El sistema autentica, entrega un JWT válido y redirige al POS.</t>
  </si>
  <si>
    <t>Prueba realizada con Script de PlayWrite</t>
  </si>
  <si>
    <t>CP-H1.1-02</t>
  </si>
  <si>
    <t>Con credenciales inválidas, el sistema rechaza el acceso y muestra un mensaje de error.</t>
  </si>
  <si>
    <t>Pantalla de login disponible.</t>
  </si>
  <si>
    <t>1. Ingresar un usuario inexistente o contraseña incorrecta.
2. Presionar Iniciar sesión.</t>
  </si>
  <si>
    <t>No se genera sesión y se muestra un mensaje de error claro, sin revelar qué dato falló.</t>
  </si>
  <si>
    <t>Se muestra mensaje claro de error con las credenciales no validas</t>
  </si>
  <si>
    <t>CP-H1.1-03</t>
  </si>
  <si>
    <t>Después de cerrar sesión, la sesión/token deja de ser válido.</t>
  </si>
  <si>
    <t>Por categoría</t>
  </si>
  <si>
    <t>Usuario con sesión iniciada.</t>
  </si>
  <si>
    <t>1. Cerrar sesión.
2. Reintentar una petición al backend con el token anterior.</t>
  </si>
  <si>
    <t>El token es rechazado (401) y no se accede a rutas protegidas.</t>
  </si>
  <si>
    <t>Vitest: auth.guard.spec.ts y auth.service.spec.ts. Logout limpia la sesión y las rutas protegidas rechazan acceso sin token. 63/63 pruebas aprobadas; validación manual aprobada.</t>
  </si>
  <si>
    <t>CP-H1.1-04</t>
  </si>
  <si>
    <t>Los valores de los campos deben ser validados a nivel de código: no pueden ser nulos y formato de correo tradicional.</t>
  </si>
  <si>
    <t>1. Enviar el formulario con campos vacíos.
2. Probar con espacios en blanco y con largos fuera de rango.</t>
  </si>
  <si>
    <t>El formulario bloquea el envío y muestra la validación de cada campo.</t>
  </si>
  <si>
    <t>Se muestra mensaje claro de error se deben ingresar obligatoriamente campos en el formulario</t>
  </si>
  <si>
    <t>CP-H1.2-01</t>
  </si>
  <si>
    <t>H1.2 Acceso según rol</t>
  </si>
  <si>
    <t>Cada usuario visualiza únicamente las funcionalidades permitidas para su rol.</t>
  </si>
  <si>
    <t>Existen usuarios con rol cajero y rol administrador.</t>
  </si>
  <si>
    <t>1. Iniciar sesión como cajero y revisar el menú.
2. Repetir con administrador.</t>
  </si>
  <si>
    <t>Cada rol ve sólo sus secciones; las no permitidas no se renderizan.</t>
  </si>
  <si>
    <t>Vitest: sidebar.spec.ts y login.component.spec.ts. Roles desde PostgreSQL/PostgREST: cajero ve Home/POS/Caja; bodeguero ve Home/Maestro Productos/Inventario y entra a /product-master; admin ve todas las opciones. Validación manual en navegador aprobada. Suite completa: 69/69; build sin errores ni advertencias.</t>
  </si>
  <si>
    <t>CP-H1.2-02</t>
  </si>
  <si>
    <t>Una petición no autorizada a una ruta o endpoint es bloqueada.</t>
  </si>
  <si>
    <t>Sesión iniciada como cajero.</t>
  </si>
  <si>
    <t>1. Iniciar sesión como cajero, bodeguero y administrador.
2. Consultar directamente /usuarios, /ventas, /productos e /ingredientes con cada JWT y sin token.
3. Abrir por URL /pos, /caja y /product-master según el rol.</t>
  </si>
  <si>
    <t>Los endpoints no autorizados responden 401/403 según corresponda y el frontend redirige fuera de las rutas no permitidas.</t>
  </si>
  <si>
    <t>API local: anónimo 401; cajero y bodeguero 403 en /usuarios y /ventas; admin 200. RPC venta: bodeguero 403. Chrome: cajero /product-master → /caja; bodeguero /pos y /caja → /product-master; admin accede. Vitest 102/102; build sin errores ni advertencias. Evidencia: docs/qa/seguridad-roles.md.</t>
  </si>
  <si>
    <t>CP-H1.2-03</t>
  </si>
  <si>
    <t>El sistema registra correctamente el rol asignado al usuario.</t>
  </si>
  <si>
    <t>Usuario creado en la base de datos.</t>
  </si>
  <si>
    <t>Por prioridad</t>
  </si>
  <si>
    <t>1. Revisar el registro del usuario en PostgreSQL.
2. Decodificar el claim de rol del JWT emitido.</t>
  </si>
  <si>
    <t>El rol almacenado coincide con el del token emitido.</t>
  </si>
  <si>
    <t>Verificado contra el código fuente real de public.login() en el servidor de producción (SELECT pg_get_functiondef('public.login'::regproc)), la función lee v_usuario.rol desde la tabla usuarios y lo mapea al claim role del JWT con un CASE explícito: admin/administrador → nury_admin, cajero → nury_cajero, bodeguero → nury_bodeguero.</t>
  </si>
  <si>
    <t>CP-H2.1-01</t>
  </si>
  <si>
    <t>H2.1 Escaneo de productos</t>
  </si>
  <si>
    <t>El sistema reconoce códigos de barras o QR mediante pistola lectora o cámara.</t>
  </si>
  <si>
    <t>Producto con código de barras registrado; lector o cámara disponible.</t>
  </si>
  <si>
    <t>1. Escanear con la pistola lectora.
2. Repetir usando la cámara.</t>
  </si>
  <si>
    <t>El código se captura completo en el campo de escaneo en ambos métodos.</t>
  </si>
  <si>
    <t>El input de pos-layout.component.html (línea 76-81) está enlazado a quickBarcodeInput con (keydown.enter)="onBarcodeScan()", que llama a PosService.addByCode(code), ademas para la camara del celular tenemos BarcodeScanner (barcode-scanner.ts) usa @zxing/browser (BrowserMultiFormatReader) sobre el video de la cámara, openBarcodeScanner() en el componente llama a start() y, al detectar un código, hace quickBarcodeInput.set(code) + onBarcodeScan() , mismo camino que la pistola.</t>
  </si>
  <si>
    <t>CP-H2.1-02</t>
  </si>
  <si>
    <t>Un código válido agrega automáticamente el producto al carrito.</t>
  </si>
  <si>
    <t>Producto existente con stock.</t>
  </si>
  <si>
    <t>1. Escanear un código válido.
2. Observar el carrito.</t>
  </si>
  <si>
    <t>El producto se agrega automáticamente con nombre, precio y cantidad 1.</t>
  </si>
  <si>
    <t>onBarcodeScan() (pos-layout.component.ts, línea 172-193) llama directamente a PosService.addByCode(code), que busca el producto por codigoInterno o codigoBarras y lo agrega al carrito (addToCart) sin pasos intermedios ni confirmación manual; solo muestra feedback visual del resultado. El mismo metodo se usa tanto para la pistola lectora como para la camara.</t>
  </si>
  <si>
    <t>CP-H2.1-03</t>
  </si>
  <si>
    <t>Un código inexistente muestra un error y no agrega productos incorrectos.</t>
  </si>
  <si>
    <t>Carrito con al menos un producto.</t>
  </si>
  <si>
    <t>1. Escanear un código que no exista en el catálogo.</t>
  </si>
  <si>
    <t>Se muestra un aviso de producto no encontrado y el carrito queda sin cambios.</t>
  </si>
  <si>
    <t>Cuando no encuentra coincidencia por codigo interno, muestra una "X", y no se toca el carrito en ningun punto de esa rama. Cubierto por el test 'keeps the camera open on unknown codes and allows the next product to be scanned' (pos-layout.component.spec.ts, línea 264), que escanea un código "DESCONOCIDO", verifica el mensaje de error y confirma que totalItemsCount() queda en 0.</t>
  </si>
  <si>
    <t>CP-H2.2-01</t>
  </si>
  <si>
    <t>H2.2 Búsqueda manual y catálogo</t>
  </si>
  <si>
    <t>El cajero puede buscar productos por nombre, código o texto.</t>
  </si>
  <si>
    <t>Catálogo cargado con productos.</t>
  </si>
  <si>
    <t>1. Buscar por nombre parcial.
2. Buscar por código.
3. Buscar un texto sin coincidencias.</t>
  </si>
  <si>
    <t>Los filtros devuelven los resultados correctos y el caso sin coincidencias muestra lista vacía.</t>
  </si>
  <si>
    <t>Vitest: pos-layout.component.spec.ts. Búsqueda por nombre, texto, código y combinación con categoría; resultados correctos y lista vacía sin coincidencias.</t>
  </si>
  <si>
    <t>CP-H2.2-02</t>
  </si>
  <si>
    <t>El catálogo visual permite seleccionar un producto.</t>
  </si>
  <si>
    <t>Catálogo visible en el POS.</t>
  </si>
  <si>
    <t>1. Navegar el catálogo.
2. Hacer clic en la tarjeta de un producto.</t>
  </si>
  <si>
    <t>La tarjeta responde a la selección y queda marcada.</t>
  </si>
  <si>
    <t>Vitest: pos-layout.component.spec.ts. Catálogo renderizado, productos inactivos excluidos y botón accesible de producto operativo.</t>
  </si>
  <si>
    <t>CP-H2.2-03</t>
  </si>
  <si>
    <t>Al seleccionar un producto, este se agrega al carrito con nombre, precio y cantidad.</t>
  </si>
  <si>
    <t>1. Seleccionar un producto del catálogo.
2. Revisar la línea agregada al carrito.</t>
  </si>
  <si>
    <t>El carrito muestra nombre, precio unitario y cantidad, y actualiza el total.</t>
  </si>
  <si>
    <t>Vitest: pos-layout.component.spec.ts y pos.service.spec.ts. La selección agrega nombre, precio, cantidad 1 y actualiza el total.</t>
  </si>
  <si>
    <t>CP-H2.2-04</t>
  </si>
  <si>
    <t>El sistema no debe mostrar productos inactivos para su venta.</t>
  </si>
  <si>
    <t>Catálogo cargado con al menos un producto activo y uno inactivo.</t>
  </si>
  <si>
    <t>1. Cargar el catálogo del POS.
2. Verificar que los productos con activo = false no aparezcan en las tarjetas del catálogo ni en el conteo por categoría.
3. Intentar buscarlos por nombre/código en el buscador.</t>
  </si>
  <si>
    <t>Los productos inactivos no se muestran en ninguna parte del catálogo del POS, ni en resultados de búsqueda, ni se cuentan en el total por categoría.</t>
  </si>
  <si>
    <t>Doble filtro confirmado en el código: (1) backend , ProductosApiService.listar() consulta /productos?activo=eq.true por defecto, PostgREST nunca devuelve inactivos; (2) frontend , PosLayoutComponent.filteredCatalog()/getCategoryCount() filtran explícitamente por p.activo sobre lo ya recibido.</t>
  </si>
  <si>
    <t>CP-H2.2-05</t>
  </si>
  <si>
    <t>El sistema debe tolerar diferencias de mayúsculas, minúsculas y tildes en la búsqueda.</t>
  </si>
  <si>
    <t>Catálogo con al menos un producto cuyo nombre lleve tilde (ej. "Café Espresso Doble", "Sándwich...").</t>
  </si>
  <si>
    <t>1. Abrir el módulo de Punto de Venta (POS).
2. En la barra de búsqueda, escribir el nombre de un producto que tenga tilde pero sin usar la tilde y en mayúsculas (ej. escribir "CAFE" para encontrar "Café Espresso Doble").
3. Repetir escribiendo en minúsculas y con variaciones de mayúsculas/minúsculas (ej. "sandwich" para "Sándwich...").</t>
  </si>
  <si>
    <t>El producto aparece en los resultados de búsqueda sin importar que el texto ingresado no tenga tildes o use mayúsculas/minúsculas distintas a las del nombre real.</t>
  </si>
  <si>
    <t>Lógica de normalización confirmada en código (pos-layout.component.ts:105-110).</t>
  </si>
  <si>
    <t>CP-H2.3-01</t>
  </si>
  <si>
    <t>H2.3 Venta mediante código interno</t>
  </si>
  <si>
    <t>Cada código interno puede asociarse a un producto.</t>
  </si>
  <si>
    <t>Sesión de administrador.</t>
  </si>
  <si>
    <t>El código interno queda persistido y asociado a ese producto.</t>
  </si>
  <si>
    <t>productos.id es SERIAL PRIMARY KEY (schema_nury.sql, línea 263), único por definición. El código interno no se guarda en la base, por lo tanto hereda directamente la unicidad del id. Se deriva en el frontend como NUR-${String(producto.id).padStart(3, '0')} (pos.service.ts, adaptarProducto())</t>
  </si>
  <si>
    <t>CP-H2.3-02</t>
  </si>
  <si>
    <t>El sistema debe permitir ingresar detalle del producto: nombre, precio de venta.</t>
  </si>
  <si>
    <t>Sesión de administrador en el módulo de inventario.</t>
  </si>
  <si>
    <t>1. Crear o editar un producto.
2. Ingresar nombre y precio de venta.
3. Guardar.</t>
  </si>
  <si>
    <t>Los datos se guardan y se reflejan en el catálogo.</t>
  </si>
  <si>
    <t>product-master.ts define productForm (línea 54-59) con nombre (Validators.required, máx. 120 caracteres) y precio_venta (Validators.required, mínimo 0.01) como campos obligatorios, además de categoria, precio_compra y codigo_barras opcionales.</t>
  </si>
  <si>
    <t>CP-H2.3-03</t>
  </si>
  <si>
    <t>El ingreso de un código interno válido agrega el producto correcto.</t>
  </si>
  <si>
    <t>Producto con código interno asignado.</t>
  </si>
  <si>
    <t>1. Escribir el código interno en el input rápido del POS.
2. Confirmar.</t>
  </si>
  <si>
    <t>Se agrega al carrito exactamente el producto asociado a ese código.</t>
  </si>
  <si>
    <t>Vitest: pos-layout.component.spec.ts y pos.service.spec.ts. Un código interno válido agrega exactamente el producto asociado al carrito.</t>
  </si>
  <si>
    <t>CP-H2.3-04</t>
  </si>
  <si>
    <t>El sistema impide asignar el mismo código interno a dos productos.</t>
  </si>
  <si>
    <t>Existe un producto con código interno asignado.</t>
  </si>
  <si>
    <t>1. Intentar asignar el mismo código a otro producto.
2. Guardar.</t>
  </si>
  <si>
    <t>La restricción UNIQUE rechaza el guardado y se informa el conflicto.</t>
  </si>
  <si>
    <t>El código interno (NUR-XXX) se calcula únicamente en el frontend (PosService.adaptarProducto()), a partir de productos.id, que en la base es SERIAL PRIMARY KEY (ver schema_nury.sql), Postgres garantiza que ese valor nunca se repite.</t>
  </si>
  <si>
    <t>CP-H2.4-01</t>
  </si>
  <si>
    <t>H2.4 Registro de medio de pago</t>
  </si>
  <si>
    <t>El cajero puede seleccionar efectivo, tarjeta o Junaeb.</t>
  </si>
  <si>
    <t>Carrito con productos, modal de cobro abierto.</t>
  </si>
  <si>
    <t>1. Abrir el modal de cobro.
2. Revisar y seleccionar cada medio de pago.</t>
  </si>
  <si>
    <t>Las tres opciones están disponibles y se pueden seleccionar.</t>
  </si>
  <si>
    <t>Vitest: payment-modal.component.spec.ts. Efectivo, tarjeta y Junaeb disponibles y seleccionables.</t>
  </si>
  <si>
    <t>CP-H2.4-02</t>
  </si>
  <si>
    <t>El sistema registra el medio de pago asociado a la venta.</t>
  </si>
  <si>
    <t>Venta confirmada con un medio de pago.</t>
  </si>
  <si>
    <t>1. Confirmar una venta en efectivo.
2. Consultar el registro de la venta.</t>
  </si>
  <si>
    <t>La venta queda almacenada con el medio de pago utilizado.</t>
  </si>
  <si>
    <t>Vitest: payment-modal.component.spec.ts y pos.service.spec.ts. La venta conserva el medio seleccionado; API de ventas simulada en prueba unitaria.</t>
  </si>
  <si>
    <t>CP-H2.4-03</t>
  </si>
  <si>
    <t>La venta no puede confirmarse si el medio de pago está incompleto o no seleccionado.</t>
  </si>
  <si>
    <t>Carrito con productos.</t>
  </si>
  <si>
    <t>1. Intentar confirmar sin seleccionar medio de pago.
2. Intentar con monto recibido menor al total.</t>
  </si>
  <si>
    <t>La confirmación se bloquea y se indica el dato faltante.</t>
  </si>
  <si>
    <t>Vitest: payment-modal.component.spec.ts. Bloquea el cobro sin selección o confirmación, y con efectivo insuficiente o valores inválidos.</t>
  </si>
  <si>
    <t>CP-H2.6-01</t>
  </si>
  <si>
    <t>H2.6 Comprobante de venta</t>
  </si>
  <si>
    <t>Al finalizar una venta, el sistema genera un comprobante con productos, cantidades, total y medio de pago.</t>
  </si>
  <si>
    <t>Venta confirmada.</t>
  </si>
  <si>
    <t>1. Completar una venta.
2. Consultar el comprobante generado.</t>
  </si>
  <si>
    <t>El comprobante contiene productos, cantidades, total y medio de pago correctos.</t>
  </si>
  <si>
    <t>Vitest: payment-modal.component.spec.ts. Al completar la venta genera comprobante con productos, cantidades, total, impuestos y medio de pago.</t>
  </si>
  <si>
    <t>CP-H2.6-02</t>
  </si>
  <si>
    <t>El comprobante puede visualizarse digitalmente.</t>
  </si>
  <si>
    <t>Venta con comprobante generado.</t>
  </si>
  <si>
    <t>1. Abrir el visor del comprobante.
2. Usar la opción de impresión / PDF.</t>
  </si>
  <si>
    <t>El comprobante se muestra legible en pantalla y permite imprimir o exportar.</t>
  </si>
  <si>
    <t>Vitest: payment-modal.component.spec.ts. Comprobante visible y legible; impresión o PDF habilitada solo después de completar la venta.</t>
  </si>
  <si>
    <t>CP-H2.7-01</t>
  </si>
  <si>
    <t>H2.7 Historial del turno</t>
  </si>
  <si>
    <t>El cajero puede consultar las ventas realizadas durante su turno activo.</t>
  </si>
  <si>
    <t>Turno abierto con ventas registradas.</t>
  </si>
  <si>
    <t>1. Ingresar al historial del turno.</t>
  </si>
  <si>
    <t>Se listan todas las ventas del turno activo del cajero.</t>
  </si>
  <si>
    <t>El historial de ventas del turno (salesHistory en pos.service.ts) se llena en memoria con cada venta registrada durante la sesión activa y se vacía al confirmar el cierre (resetSalesHistory(), línea 241). Se visualiza en cierre-caja.component.html</t>
  </si>
  <si>
    <t>CP-H2.7-02</t>
  </si>
  <si>
    <t>Cada venta muestra fecha, productos, total y medio de pago.</t>
  </si>
  <si>
    <t>Historial del turno con ventas.</t>
  </si>
  <si>
    <t>1. Abrir el detalle de una venta del listado.</t>
  </si>
  <si>
    <t>El detalle muestra fecha, productos, total y medio de pago.</t>
  </si>
  <si>
    <t>Confirmado en la plantilla cierre-caja.component.html (línea 165-168): cada fila renderiza formatFecha(venta.fecha), resumenItems(venta), medioPagoLabel(venta) y formatClp(venta.total).</t>
  </si>
  <si>
    <t>CP-H2.7-03</t>
  </si>
  <si>
    <t>El cajero no puede consultar ventas pertenecientes a turnos no autorizados.</t>
  </si>
  <si>
    <t>Existen ventas de otro cajero u otro turno.</t>
  </si>
  <si>
    <t>1. Solicitar por API ventas de otro turno con el token del cajero.</t>
  </si>
  <si>
    <t>La política RLS no devuelve esos registros.</t>
  </si>
  <si>
    <t>Revisión de database/local/07_seguridad_roles.sql: el rol nury_cajero no tiene ningún GRANT SELECT sobre ventas ni turnos; solo puede registrar ventas vía el RPC fn_registrar_venta (SECURITY DEFINER). Al no tener lectura directa sobre la tabla, no puede consultar ventas de ningún turno, ni propio ni ajeno, fuera del historial local de su sesión activa.</t>
  </si>
  <si>
    <t>CP-H2.7-04</t>
  </si>
  <si>
    <t>El sistema debe permitir filtrar por texto, folio o medio de pago.</t>
  </si>
  <si>
    <t>Turno de caja abierto con al menos dos ventas registradas, con distintos productos y distintos medios de pago (ej. una en efectivo, otra en crédito).</t>
  </si>
  <si>
    <t>1. Abrir el módulo de cierre de caja y ubicar el historial de ventas del turno.
2. Escribir en el buscador el nombre de un producto vendido (ej. "espresso") y verificar que solo aparece la venta que lo contiene.
3. Limpiar el buscador y escribir el folio de una venta (ej. "TK-999") y verificar que aparece esa venta.
4. Limpiar el buscador y escribir el nombre de un medio de pago (ej. "crédito") y verificar que solo aparecen las ventas de ese medio.
5. Escribir un texto que no corresponda a ningún producto, folio ni medio de pago y verificar que no se muestran resultados.</t>
  </si>
  <si>
    <t>El historial de ventas del turno se filtra correctamente según el texto buscado, ya sea por nombre de producto, folio o medio de pago, y muestra "sin resultados" cuando no hay coincidencias.</t>
  </si>
  <si>
    <t>Lógica de filtro confirmada en cierre-caja.component.ts (ventasPorMetodoFiltradas, línea 75-91): compara contra ticketFolio, contenido de productos y la etiqueta del medio de pago (nombre del grupo).</t>
  </si>
  <si>
    <t>CP-H2.8-01</t>
  </si>
  <si>
    <t>H2.8 Cierre y cuadratura de caja</t>
  </si>
  <si>
    <t>El sistema muestra la cantidad recaudada en el turno en efectivo, tarjetas y Junaeb.</t>
  </si>
  <si>
    <t>Turno con ventas en los tres medios de pago.</t>
  </si>
  <si>
    <t>1. Abrir la pantalla de cierre de caja.
2. Comparar los totales con las ventas registradas.</t>
  </si>
  <si>
    <t>El desglose por medio de pago cuadra con las ventas del turno.</t>
  </si>
  <si>
    <t>CP-H2.8-02</t>
  </si>
  <si>
    <t>Al hacer clic en uno de los métodos de pago debe mostrar todos los productos vendidos con ese método de pago.</t>
  </si>
  <si>
    <t>Pantalla de cierre de caja con totales.</t>
  </si>
  <si>
    <t>1. Hacer clic en el total de efectivo.
2. Repetir con tarjeta y Junaeb.</t>
  </si>
  <si>
    <t>Se despliega el detalle de productos vendidos con ese medio de pago.</t>
  </si>
  <si>
    <t>CP-H2.9-01</t>
  </si>
  <si>
    <t>H2.9 Anulación de ventas</t>
  </si>
  <si>
    <t>Cuando el cajero selecciona anular, el sistema invalida el registro monetario.</t>
  </si>
  <si>
    <t>Venta registrada en un turno abierto.</t>
  </si>
  <si>
    <t>1. Anular la venta desde el historial.
2. Revisar el estado del registro.</t>
  </si>
  <si>
    <t>La venta queda marcada como anulada y su monto deja de ser válido.</t>
  </si>
  <si>
    <t>VentasApiService.anular() hace un PATCH sobre ventas (nunca un DELETE, decisión documentada en schema_nury.sql) seteando anulada = true, anulada_en, anulada_por y anulada_motivo; el filtro anulada=eq.false en la misma petición evita anular dos veces la misma venta. En el POS, PosService.anularVenta() llama a esa API y, si tiene éxito, sacar la venta de salesHistory.</t>
  </si>
  <si>
    <t>CP-H2.9-02</t>
  </si>
  <si>
    <t>Una venta anulada aparece como anulada en el historial y no cuenta en la cuadratura final de la caja.</t>
  </si>
  <si>
    <t>Venta anulada en un turno abierto.</t>
  </si>
  <si>
    <t>1. Revisar la venta en el historial.
2. Revisar los totales del cierre de caja.</t>
  </si>
  <si>
    <t>El historial la marca como anulada y la cuadratura la excluye.</t>
  </si>
  <si>
    <t>En anulacion-venta.html (líneas 120-134), la fila de una venta anulada recibe la clase fila-anulada, su total aparece tachado (tachado) y se muestra una etiqueta badge-anulada con el texto "Anulada" (con el motivo como tooltip), la venta nunca desaparece del listado, solo cambia su estado visual.</t>
  </si>
  <si>
    <t>CP-H2.9-03</t>
  </si>
  <si>
    <t>Cuando el cajero selecciona anular una venta, el sistema debe mostrar un mensaje de confirmación para no cometer errores.</t>
  </si>
  <si>
    <t>Venta registrada en el historial.</t>
  </si>
  <si>
    <t>1. Presionar Anular.
2. Cancelar en el modal.
3. Repetir y confirmar.</t>
  </si>
  <si>
    <t>El modal pide confirmación; al cancelar no pasa nada y al confirmar se anula.</t>
  </si>
  <si>
    <t>El modal "Confirmar anulación" (anulacion-venta.html, líneas 150-246) muestra el folio y la pregunta explícita "¿Anular la venta X?", una advertencia clara de que "esta acción no se puede deshacer", el detalle completo de la venta (fecha, medio de pago, cajero, sucursal, tabla de productos con cantidades/precios/subtotales y total), el campo de motivo obligatorio, y dos botones: "Cancelar" (cerrarDetalle(), cierra sin anular) y "Anular venta" (confirmarAnulacion(), deshabilitado mientras no haya un motivo válido de al menos 5 caracteres).</t>
  </si>
  <si>
    <t>CP-H2.1-06</t>
  </si>
  <si>
    <t>Después de cada escaneo, el campo del lector queda vacío y con el cursor listo para el siguiente escaneo.</t>
  </si>
  <si>
    <t>Caja abierta. Existen productos activos con código de barras registrado.</t>
  </si>
  <si>
    <t>1. Ingresar el código 000000 y presionar Enter.
2. Escanear un código válido con la pistola.
3. Presionar "+" en un producto del catálogo.
4. Escanear otro código válido sin hacer clic en el campo.</t>
  </si>
  <si>
    <t>El campo se vacía después de cada ingreso, incluso si el código no existe, y el cursor vuelve solo al campo del lector. Todos los productos escaneados se agregan al carrito.</t>
  </si>
  <si>
    <t>CP-H2.11-01</t>
  </si>
  <si>
    <t>H2.11 Apertura y control de turno de caja</t>
  </si>
  <si>
    <t>El sistema debe registrar cajero, sucursal, fecha/hora y monto inicial cuando aplique.</t>
  </si>
  <si>
    <t>Cajero con sesión iniciada, sin un turno activo previo en su sucursal.</t>
  </si>
  <si>
    <t>1. Iniciar sesión como cajero y entrar a "Caja".
2. Verificar que se muestra la pantalla "Aún no inicias tu turno".
3. Ingresar un monto inicial (probar con 0 y con un valor positivo en intentos separados) y presionar "Iniciar Turno".
4. Verificar en la base de datos que se creó el registro en turnos con el cajero, la sucursal, la fecha/hora y el monto ingresado.</t>
  </si>
  <si>
    <t>Se crea un turno en la base de datos con el cajero, la sucursal, la fecha/hora de apertura y el monto inicial exactamente como se ingresaron, incluyendo 0 como valor válido.</t>
  </si>
  <si>
    <t>Función fn_abrir_turno (database/migrations/0003_apertura_control_turno.sql) inserta en turnos con usuario_id, sucursal_id, hora_inicio (clock_timestamp()) y monto_inicial, validando que el monto no sea nulo ni negativo.</t>
  </si>
  <si>
    <t>CP-H2.11-02</t>
  </si>
  <si>
    <t>El sistema no debe permitir más de un turno activo para el mismo cajero y sucursal.</t>
  </si>
  <si>
    <t>Cajero con un turno ya abierto y activo en su sucursal.</t>
  </si>
  <si>
    <t>1. Con el cajero ya con turno abierto en una sesión, abrir una segunda sesión del navegador (ventana de incógnito) con el mismo usuario.
2. Entrar a "Caja" en esa segunda sesión e intentar iniciar un turno nuevo con cualquier monto.
3. Verificar que el sistema rechaza la apertura y muestra un mensaje de error claro.</t>
  </si>
  <si>
    <t>El sistema no crea un segundo turno activo para el mismo cajero y sucursal: rechaza la apertura con el mensaje "Ya existe un turno activo para este cajero en esta sucursal".</t>
  </si>
  <si>
    <t>Doble protección en fn_abrir_turno: valida explícitamente si ya existe un turno sin hora_fin para ese usuario_id+sucursal_id, y además hay un índice único (turnos_activo_unico) como defensa ante condiciones de carrera (dos aperturas casi simultáneas).</t>
  </si>
  <si>
    <t>CP-H2.11-03</t>
  </si>
  <si>
    <t>El sistema debe bloquear ventas si no existe un turno activo autorizado.</t>
  </si>
  <si>
    <t>Cajero con sesión iniciada y sin ningún turno activo en su sucursal (nunca abrió uno, o ya lo cerró).</t>
  </si>
  <si>
    <t>1. Iniciar sesión como cajero sin abrir turno (o con el turno ya cerrado).
2. Ir al POS, agregar un producto al carrito e intentar completar la venta.
3. Verificar que el sistema rechaza la venta y muestra un mensaje de error claro.</t>
  </si>
  <si>
    <t>La venta no se registra: el sistema responde con "No hay un turno activo para este cajero en esta sucursal; debes abrir turno antes de vender" y no se crea ninguna fila en ventas.</t>
  </si>
  <si>
    <t>fn_registrar_venta busca el turno activo (hora_fin IS NULL) del cajero+sucursal antes de insertar la venta; si no encuentra ninguno, lanza la excepción y no llega a insertar. Probado end-to-end en producción: tras cerrar el turno, se intentó vender y el sistema bloqueó la venta con el mensaje exacto.</t>
  </si>
  <si>
    <t>CP-H2.11-04</t>
  </si>
  <si>
    <t>El sistema debe bloquear nuevas ventas después del cierre del turno.</t>
  </si>
  <si>
    <t>Cajero con un turno que estuvo activo y ya fue cerrado.</t>
  </si>
  <si>
    <t>1. Con un turno abierto, cerrar el turno desde "Caja" (confirmar cierre).
2. Sin abrir un turno nuevo, ir al POS, agregar un producto al carrito e intentar completar una venta.
3. Verificar que el sistema rechaza la venta.</t>
  </si>
  <si>
    <t>Después de cerrado el turno, ninguna venta nueva se registra hasta que se abra un turno nuevo: el sistema responde con "No hay un turno activo para este cajero en esta sucursal; debes abrir turno antes de vender".</t>
  </si>
  <si>
    <t>fn_cerrar_turno marca hora_fin en el turno, y fn_registrar_venta solo busca turnos con hora_fin IS NULL; al cerrarse, deja de calificar como turno activo.</t>
  </si>
  <si>
    <t>CP-H2.11-05</t>
  </si>
  <si>
    <t>El sistema debe mostrar claramente el estado del turno activo.</t>
  </si>
  <si>
    <t>Cajero con sesión iniciada.</t>
  </si>
  <si>
    <t>1. Entrar al POS sin turno abierto y verificar el indicador de estado (punto y texto "Caja cerrada").
2. Abrir un turno e ingresar al POS; verificar que el indicador cambia a "Caja abierta" y que ahora se pueden agregar productos, buscar y cobrar (antes estaban deshabilitados).
3. Entrar a "Caja" en cada uno de los 3 estados (sin turno, turno activo, turno recién cerrado) y verificar que cada pantalla comunica claramente cuál es.</t>
  </si>
  <si>
    <t>En todo momento es visualmente claro si la caja está abierta o cerrada: un indicador con punto de color y texto ("Caja abierta"/"Caja cerrada") en el POS, y pantallas distintas y explícitas en "Caja" para cada estado del turno (sin iniciar, activo, recién cerrado).</t>
  </si>
  <si>
    <t>pos-layout.component.html (línea 14-15): indicador shift-dot-pulse + texto "Caja {{ isRegisterOpen() ? 'abierta' : 'cerrada' }}", visible permanentemente en el POS; además todos los controles de venta quedan deshabilitados ([disabled]="!isRegisterOpen()") cuando la caja está cerrada, reforzando visualmente el estado. cierre-caja.component.html tiene 3 pantallas explícitas según el estado del turno ("Aún no inicias tu turno", vista normal con turno activo, "Turno cerrado con éxito").</t>
  </si>
  <si>
    <t>CP-H1.2-04</t>
  </si>
  <si>
    <t>El sistema no debe confiar únicamente en ocultar elementos de interfaz para proteger operaciones.</t>
  </si>
  <si>
    <t>Sesión iniciada con rol cajero.</t>
  </si>
  <si>
    <t>1. Iniciar sesión como cajero.
2. Forzar por URL la navegación a /product-master, /gestion-negocio y /anulacion-venta.
3. Invocar directamente los endpoints de esas funciones con el token de cajero.</t>
  </si>
  <si>
    <t>Además de no aparecer en el menú, el guard de rutas y las políticas del backend rechazan la operación.</t>
  </si>
  <si>
    <t>Verificado contra producción con aclexplode sobre pg_class.relacl/pg_proc.proacl: la restricción vive en PostgreSQL vía GRANT/REVOKE de roles (nury_cajero, nury_bodeguero, nury_admin), no en el frontend. usuarios, ventas, turnos y todo lo administrativo son de acceso exclusivo de nury_admin; fn_registrar_venta solo es ejecutable por nury_admin/nury_cajero vía SECURITY DEFINER.</t>
  </si>
  <si>
    <t>CP-H1.2-05</t>
  </si>
  <si>
    <t>El sistema debe devolver una respuesta de acceso denegado sin filtrar datos cuando corresponda.</t>
  </si>
  <si>
    <t>Sesión como cajero y un recurso de administración identificado.</t>
  </si>
  <si>
    <t>1. Solicitar el recurso restringido con el token de cajero.
2. Revisar el código y el cuerpo de la respuesta.</t>
  </si>
  <si>
    <t>Responde 401/403 o lista vacía, sin devolver registros ni detalles internos del error.</t>
  </si>
  <si>
    <t>Probado end-to-end contra PostgREST real el 26-09: cajero y bodeguero reciben 403 limpio al pedir /usuarios directamente, sin ningún dato en la respuesta. Esto es consecuencia de que el permiso se revoca a nivel de PostgreSQL (REVOKE/sin GRANT para esos roles sobre la tabla)</t>
  </si>
  <si>
    <t>CP-H2.1-04</t>
  </si>
  <si>
    <t>El sistema no debe agregar productos cuando el código no existe, está inactivo o no está autorizado.</t>
  </si>
  <si>
    <t>Existe un producto desactivado con código conocido.</t>
  </si>
  <si>
    <t>1. Escanear el código de un producto inactivo.
2. Escanear un código fuera del alcance autorizado.
3. Revisar el carrito.</t>
  </si>
  <si>
    <t>Ninguno de los dos se agrega al carrito y se informa el motivo.</t>
  </si>
  <si>
    <t>addByCode() busca en this.catalog(), que se carga vía ProductosApiService.listar() sin argumento → por defecto soloActivos=true, filtrando activo=eq.true en el servidor. Un código inactivo o inexistente nunca aparece en el catálogo cargado, así que addByCode() siempre retorna false para esos casos.</t>
  </si>
  <si>
    <t>CP-H2.3-05</t>
  </si>
  <si>
    <t>El sistema no debe agregar un producto cuando el código no existe o el producto está inactivo.</t>
  </si>
  <si>
    <t>Producto desactivado con código interno conocido.</t>
  </si>
  <si>
    <t>1. Ingresar un código interno inexistente.
2. Ingresar el código de un producto inactivo.</t>
  </si>
  <si>
    <t>En ambos casos no se agrega nada al carrito.</t>
  </si>
  <si>
    <t>Mismo mecanismo que CP-H2.1-04: addByCode() busca tanto por codigoInterno como por codigoBarras sobre el mismo catálogo filtrado por activo=true.</t>
  </si>
  <si>
    <t>CP-H2.3-06</t>
  </si>
  <si>
    <t>El sistema debe informar claramente el resultado del ingreso.</t>
  </si>
  <si>
    <t>POS abierto con turno activo.</t>
  </si>
  <si>
    <t>1. Ingresar un código válido y observar el mensaje.
2. Repetir con un código inválido.</t>
  </si>
  <si>
    <t>El POS confirma visiblemente cuando agrega y muestra un error claro cuando falla.</t>
  </si>
  <si>
    <t>onBarcodeScan() en pos-layout.component.ts muestra feedback visual tanto de éxito (producto agregado, limpia el input) como de error (clase .scanner-feedback-error) según el resultado de addByCode().</t>
  </si>
  <si>
    <t>CP-H2.4-04</t>
  </si>
  <si>
    <t>El sistema debe registrar un único medio de pago válido por venta en este Sprint.</t>
  </si>
  <si>
    <t>Carrito con productos y modal de cobro abierto.</t>
  </si>
  <si>
    <t>1. Seleccionar efectivo y luego cambiar a tarjeta.
2. Confirmar la venta.
3. Consultar el registro de la venta.</t>
  </si>
  <si>
    <t>La venta queda con un solo medio de pago, el último seleccionado, y no admite pagos combinados.</t>
  </si>
  <si>
    <t>selectedMethod en PaymentModalComponent es un único signal (PaymentMethod), no una lista — solo puede haber un medio seleccionado a la vez, y completeSale() recibe un solo medioPago. No existe mecanismo de pago dividido/combinado.</t>
  </si>
  <si>
    <t>CP-H2.4-05</t>
  </si>
  <si>
    <t>El sistema debe calcular vuelto para efectivo y exigir confirmación operativa para tarjeta y Junaeb.</t>
  </si>
  <si>
    <t>Venta con total conocido.</t>
  </si>
  <si>
    <t>1. Pagar en efectivo con un monto recibido mayor al total.
2. Repetir la venta con tarjeta.
3. Repetir con Junaeb.</t>
  </si>
  <si>
    <t>El vuelto se calcula correctamente y tarjeta y Junaeb piden confirmación antes de cerrar la venta.</t>
  </si>
  <si>
    <t>changeDue() calcula vuelto solo para efectivo (amountReceived() - totalToPay). Para crédito/débito, paymentError() exige cardPaymentReady() ("Confirma que el pago terminó correctamente en la máquina del local"); para Sodexo/Pluxee exige junaebScanned() ("Confirma el escaneo en la app para continuar") — en ambos casos el botón de confirmar queda bloqueado hasta esa confirmación manual.</t>
  </si>
  <si>
    <t>CP-H2.4-06</t>
  </si>
  <si>
    <t>El sistema debe mostrar el estado del cobro antes de confirmarlo.</t>
  </si>
  <si>
    <t>Modal de cobro abierto con productos en el carrito.</t>
  </si>
  <si>
    <t>1. Revisar en el modal el total, el medio seleccionado, el monto recibido y el vuelto antes de confirmar.</t>
  </si>
  <si>
    <t>El modal muestra el estado completo del cobro antes de que el cajero confirme.</t>
  </si>
  <si>
    <t>El modal muestra en tiempo real el vuelto calculado o el mensaje de error/pendiente (paymentError()) en pantalla antes de habilitar el botón de confirmar, y un indicador role="status" para pagos externos confirmados.</t>
  </si>
  <si>
    <t>CP-H2.6-03</t>
  </si>
  <si>
    <t>El sistema debe generar un comprobante solo para una venta confirmada.</t>
  </si>
  <si>
    <t>Venta en curso sin confirmar.</t>
  </si>
  <si>
    <t>1. Intentar abrir el comprobante de una venta no confirmada.
2. Confirmar la venta y volver a intentarlo.</t>
  </si>
  <si>
    <t>El comprobante solo se genera después de confirmar la venta.</t>
  </si>
  <si>
    <t>completedTicket (lo que dispara el comprobante) solo se setea dentro del callback next de completeSale(), es decir, solo después de que el backend confirmó el INSERT real en ventas y devolvió un ventaId. Si falla, no hay ticket.</t>
  </si>
  <si>
    <t>CP-H2.6-04</t>
  </si>
  <si>
    <t>El sistema no debe mostrar un comprobante de una venta no autorizada o inexistente.</t>
  </si>
  <si>
    <t>Un folio inexistente y el folio de una venta de otro cajero o turno.</t>
  </si>
  <si>
    <t>1. Pedir el comprobante de un folio inexistente.
2. Pedir el de una venta fuera del alcance autorizado.</t>
  </si>
  <si>
    <t>Ambos devuelven no encontrado o acceso denegado, sin exponer datos de la venta.</t>
  </si>
  <si>
    <t>El ticket se construye a partir de la respuesta real del backend (ventaId devuelto por fn_registrar_venta, que ya valida turno activo y permisos de rol vía SECURITY DEFINER) — nunca se fabrica del lado del cliente antes de la confirmación del servidor.</t>
  </si>
  <si>
    <t>CP-H2.8-03</t>
  </si>
  <si>
    <t>El sistema debe bloquear nuevas ventas una vez confirmado el cierre.</t>
  </si>
  <si>
    <t>Turno con ventas, listo para cerrar.</t>
  </si>
  <si>
    <t>1. Cerrar el turno desde /caja.
2. Intentar registrar una venta nueva en /pos.</t>
  </si>
  <si>
    <t>El POS impide la venta e indica que el turno está cerrado.</t>
  </si>
  <si>
    <t>Misma validación que CP-H2.11-04: fn_registrar_venta exige turno activo a nivel de base; al cerrar (fn_cerrar_turno setea hora_fin), ese turno deja de calificar como activo y nuevas ventas se rechazan.</t>
  </si>
  <si>
    <t>CP-H2.8-04</t>
  </si>
  <si>
    <t>El sistema no debe cerrar un turno ajeno ni alterar ventas históricas.</t>
  </si>
  <si>
    <t>Existe un turno abierto de otro cajero.</t>
  </si>
  <si>
    <t>1. Intentar cerrar el turno de otro cajero con el token propio.
2. Revisar las ventas de turnos anteriores después del cierre propio.</t>
  </si>
  <si>
    <t>La operación se rechaza y las ventas históricas quedan sin cambios.</t>
  </si>
  <si>
    <t>fn_cerrar_turno(p_turno_id) valida que el turno pertenezca al usuario que hace la llamada</t>
  </si>
  <si>
    <t>CP-H2.8-05</t>
  </si>
  <si>
    <t>El sistema debe solicitar confirmación antes del cierre definitivo.</t>
  </si>
  <si>
    <t>Pantalla de cierre de caja con los totales calculados.</t>
  </si>
  <si>
    <t>1. Presionar Cerrar turno.
2. Cancelar en el aviso.
3. Repetir y confirmar.</t>
  </si>
  <si>
    <t>Al cancelar el turno sigue abierto; solo se cierra al confirmar.</t>
  </si>
  <si>
    <t>El botón "Cerrar turno" llama a openConfirm(), que abre un modal (showConfirm) con el conteo de efectivo y boletas; el cierre real solo ocurre al presionar "Confirmar" dentro de ese modal (confirmCierre()), con opción de cancelConfirm() para volver atrás sin cerrar.</t>
  </si>
  <si>
    <t>CP-H2.9-06</t>
  </si>
  <si>
    <t>El sistema debe conservar una trazabilidad de la anulación.</t>
  </si>
  <si>
    <t>Venta anulada desde /anulacion-venta.</t>
  </si>
  <si>
    <t>1. Anular una venta.
2. Consultar el registro en la base de datos y en el historial.</t>
  </si>
  <si>
    <t>Queda registrado quién anuló, cuándo y con qué motivo, y la venta original no se elimina.</t>
  </si>
  <si>
    <t>CP-H2.10-01</t>
  </si>
  <si>
    <t>H2.10 Gestión del carrito y confirmación de venta</t>
  </si>
  <si>
    <t>El sistema debe permitir agregar productos al carrito desde el catálogo, búsqueda manual, código interno o escaneo.</t>
  </si>
  <si>
    <t>Sesión iniciada con turno de caja abierto y catálogo con productos activos.</t>
  </si>
  <si>
    <t>1. Entrar a /pos con el turno abierto.
2. Agregar un producto desde el catálogo.
3. Agregar otro con la búsqueda manual.
4. Agregar otro por código interno.
5. Agregar otro por escaneo.</t>
  </si>
  <si>
    <t>Las cuatro vías agregan el producto correcto al carrito, sin duplicar ni perder líneas.</t>
  </si>
  <si>
    <t>addToCart() cubre clic en catálogo/resultado de búsqueda (ambos filtran sobre el mismo catálogo); addByCode() cubre código interno, código de barras y escaneo por cámara o pistola (mismo flujo, confirmado en H2.1).</t>
  </si>
  <si>
    <t>CP-H2.10-02</t>
  </si>
  <si>
    <t>El sistema debe permitir aumentar, disminuir y eliminar productos del carrito.</t>
  </si>
  <si>
    <t>Carrito con al menos dos productos.</t>
  </si>
  <si>
    <t>1. Aumentar la cantidad de una línea.
2. Disminuirla.
3. Eliminar la otra línea.</t>
  </si>
  <si>
    <t>Las cantidades y las líneas del carrito reflejan cada acción de inmediato.</t>
  </si>
  <si>
    <t>updateQuantity(productId, delta) aumenta/disminuye; si la cantidad llega a 0 o menos, el ítem se filtra del carrito (equivalente a eliminar). removeFromCart(productId) elimina directamente.</t>
  </si>
  <si>
    <t>CP-H2.10-03</t>
  </si>
  <si>
    <t>El sistema debe actualizar el subtotal, IVA y total de la venta cuando cambien los productos o sus cantidades.</t>
  </si>
  <si>
    <t>Carrito con productos de precio conocido.</t>
  </si>
  <si>
    <t>1. Anotar subtotal, IVA y total.
2. Cambiar la cantidad de un producto.
3. Eliminar un producto.
4. Recalcular a mano y comparar.</t>
  </si>
  <si>
    <t>Subtotal, IVA y total se recalculan en cada cambio y coinciden con el cálculo manual.</t>
  </si>
  <si>
    <t>total es un computed() sobre cart() (reactivo); el desglose de IVA (19% incluido) se calcula en el template de pos-layout.component.html y payment-modal.component.html a partir de ese mismo total, actualizándose automáticamente con cualquier cambio en el carrito.</t>
  </si>
  <si>
    <t>CP-H2.10-04</t>
  </si>
  <si>
    <t>El sistema no debe permitir cantidades menores que uno ni confirmar una venta con el carrito vacío.</t>
  </si>
  <si>
    <t>1. Con el carrito vacío, intentar confirmar la venta.
2. Agregar un producto y bajar la cantidad a 0 o escribir -1.</t>
  </si>
  <si>
    <t>El botón de confirmar queda bloqueado con el carrito vacío y la cantidad mínima permitida es 1.</t>
  </si>
  <si>
    <t>updateQuantity() nunca deja una cantidad ≤ 0 (remueve el ítem en vez de dejarlo en 0 o negativo). onConfirmPayment() corta de inmediato si posService.cart().length === 0.</t>
  </si>
  <si>
    <t>CP-H2.10-05</t>
  </si>
  <si>
    <t>Al confirmar una venta correctamente, el sistema debe registrar la transacción y limpiar el carrito.</t>
  </si>
  <si>
    <t>Carrito con productos y medio de pago seleccionado.</t>
  </si>
  <si>
    <t>1. Confirmar la venta.
2. Revisar el carrito.
3. Verificar la venta en el historial del turno.</t>
  </si>
  <si>
    <t>La venta queda registrada con sus ítems y totales, y el carrito queda vacío para la siguiente venta.</t>
  </si>
  <si>
    <t>completeSale() solo llama a this.clearCart() dentro del tap() que corre después de que ventasApi.registrar() confirmó el INSERT (si falla, el carrito no se vacía, para poder reintentar).</t>
  </si>
  <si>
    <t>CP-H5.5-01</t>
  </si>
  <si>
    <t>H5.5 Maestro Productos</t>
  </si>
  <si>
    <t>El usuario autorizado puede visualizar el listado de productos y buscar por nombre, código interno o código de barras.</t>
  </si>
  <si>
    <t>Sesión iniciada como administrador y productos cargados.</t>
  </si>
  <si>
    <t>1. Entrar a /product-master.
2. Buscar por nombre.
3. Buscar por código interno.
4. Buscar por código de barras.</t>
  </si>
  <si>
    <t>El listado se muestra y las tres búsquedas devuelven el producto correcto.</t>
  </si>
  <si>
    <t>El listado funciona y la búsqueda por nombre y por código de barras funcionan correctamente (filteredProducts() en product-master.ts filtra sobre [product.nombre, product.codigo_barras]), falta implementar correctamente la busqueda por codigo interno.</t>
  </si>
  <si>
    <t>CP-H5.5-02</t>
  </si>
  <si>
    <t>Al crear un producto, el sistema exige nombre, precio, stock y un código único; si falta un dato obligatorio o el código ya existe, informa el error y no guarda el registro.</t>
  </si>
  <si>
    <t>Sesión de administrador en el maestro de productos y un producto con código conocido ya existente.</t>
  </si>
  <si>
    <t>1. Crear un producto dejando un campo obligatorio vacío.
2. Crear otro repitiendo un código existente.
3. Crear uno con todos los datos válidos.</t>
  </si>
  <si>
    <t>Los dos primeros intentos muestran el error y no guardan nada; el tercero se guarda correctamente.</t>
  </si>
  <si>
    <t>nombre/precio_venta son obligatorios y bloquean el guardado si faltan. El código (codigo_barras) es intencionalmente opcional, ya que no todos los productos tienen código de barras, pero cuando sí se ingresa uno, el sistema exige que sea único: un duplicado responde 409 y muestra "Ya existe un producto con ese nombre o código de barras" sin guardar.</t>
  </si>
  <si>
    <t>CP-H5.5-03</t>
  </si>
  <si>
    <t>El usuario autorizado puede editar los datos de un producto y los cambios quedan disponibles inmediatamente en el catálogo y en el punto de venta.</t>
  </si>
  <si>
    <t>Producto activo existente y sesión de administrador.</t>
  </si>
  <si>
    <t>1. Editar nombre y precio en /product-master.
2. Guardar.
3. Abrir /pos y buscar ese producto.</t>
  </si>
  <si>
    <t>El catálogo y el POS muestran de inmediato el nombre y el precio actualizados.</t>
  </si>
  <si>
    <t>La edición hace PATCH directo sobre la fila real en productos vía PostgREST; tanto el Maestro como el POS leen siempre el estado actual de la base en su próxima carga del catálogo (sin caché local persistente entre pantallas).</t>
  </si>
  <si>
    <t>CP-H5.5-04</t>
  </si>
  <si>
    <t>El usuario autorizado puede desactivar un producto sin eliminar su historial; un producto inactivo deja de estar disponible para nuevas ventas.</t>
  </si>
  <si>
    <t>Producto activo que ya tiene ventas registradas.</t>
  </si>
  <si>
    <t>1. Desactivar el producto en el maestro.
2. Buscarlo en el catálogo y escanearlo en /pos.
3. Revisar las ventas anteriores que lo incluían.</t>
  </si>
  <si>
    <t>El producto no se puede agregar a ventas nuevas y las ventas históricas que lo contienen se conservan intactas.</t>
  </si>
  <si>
    <t>actualizarEstado(id, activo) hace PATCH de solo el campo activo (nunca DELETE), preservando el producto y su historial. Un producto inactivo queda fuera del catálogo del POS porque ProductosApiService.listar() filtra activo=eq.true por defecto y el POS lo consume así (confirmado en CP-H2.2-04). Las ventas pasadas no referencian el producto por FK viva que se borre, así que quedan intactas.</t>
  </si>
  <si>
    <t>CP-H5.5-05</t>
  </si>
  <si>
    <t>Solo los usuarios con rol administrador pueden acceder al maestro de productos y realizar operaciones de creación, edición o desactivación.</t>
  </si>
  <si>
    <t>Usuario con rol cajero.</t>
  </si>
  <si>
    <t>1. Iniciar sesión como cajero.
2. Navegar por URL a /product-master.
3. Llamar los endpoints de creación y edición con el token de cajero.</t>
  </si>
  <si>
    <t>La ruta redirige a /sin-acceso y la API responde acceso denegado por las políticas RLS.</t>
  </si>
  <si>
    <t>El acceso queda bloqueado en ambas capas: roleGuard (auth.guard.ts) impide cargar /product-master para cualquier rol fuera de allowedRoles: ['admin'], y a nivel de base nury_cajero solo tiene SELECT sobre productos (confirmado en la auditoría H1.2), por lo que un POST/PATCH directo recibiría 403.</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</si>
</sst>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d\-mm\-yyyy"/>
  </numFmts>
  <fonts count="11">
    <font>
      <sz val="11.0"/>
      <color theme="1"/>
      <name val="Calibri"/>
      <scheme val="minor"/>
    </font>
    <font>
      <b/>
      <sz val="16.0"/>
      <color rgb="FF1F3864"/>
      <name val="Arial"/>
    </font>
    <font>
      <b/>
      <sz val="14.0"/>
      <color rgb="FF1F3864"/>
      <name val="Arial"/>
    </font>
    <font>
      <i/>
      <sz val="10.0"/>
      <color rgb="FF595959"/>
      <name val="Arial"/>
    </font>
    <font>
      <b/>
      <sz val="11.0"/>
      <color rgb="FF1F3864"/>
      <name val="Arial"/>
    </font>
    <font>
      <b/>
      <sz val="10.0"/>
      <color theme="1"/>
      <name val="Arial"/>
    </font>
    <font>
      <b/>
      <sz val="11.0"/>
      <color theme="1"/>
      <name val="Arial"/>
    </font>
    <font>
      <b/>
      <sz val="10.0"/>
      <color rgb="FFFFFFFF"/>
      <name val="Arial"/>
    </font>
    <font>
      <sz val="10.0"/>
      <color theme="1"/>
      <name val="Arial"/>
    </font>
    <font>
      <b/>
      <sz val="11.0"/>
      <color rgb="FFFFFFFF"/>
      <name val="Arial"/>
    </font>
    <font>
      <color theme="1"/>
      <name val="Calibri"/>
      <scheme val="minor"/>
    </font>
  </fonts>
  <fills count="4">
    <fill>
      <patternFill patternType="none"/>
    </fill>
    <fill>
      <patternFill patternType="lightGray"/>
    </fill>
    <fill>
      <patternFill patternType="solid">
        <fgColor rgb="FF1F3864"/>
        <bgColor rgb="FF1F3864"/>
      </patternFill>
    </fill>
    <fill>
      <patternFill patternType="solid">
        <fgColor rgb="FFF2F2F2"/>
        <bgColor rgb="FFF2F2F2"/>
      </patternFill>
    </fill>
  </fills>
  <borders count="2">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38">
    <xf borderId="0" fillId="0" fontId="0" numFmtId="0" xfId="0" applyAlignment="1" applyFont="1">
      <alignment readingOrder="0" shrinkToFit="0" vertical="bottom" wrapText="0"/>
    </xf>
    <xf borderId="0" fillId="0" fontId="1" numFmtId="0" xfId="0" applyAlignment="1" applyFont="1">
      <alignment shrinkToFit="0" vertical="bottom" wrapText="0"/>
    </xf>
    <xf borderId="0" fillId="0" fontId="2" numFmtId="0" xfId="0" applyAlignment="1" applyFont="1">
      <alignment shrinkToFit="0" vertical="bottom" wrapText="0"/>
    </xf>
    <xf borderId="0" fillId="0" fontId="3" numFmtId="0" xfId="0" applyAlignment="1" applyFont="1">
      <alignment shrinkToFit="0" vertical="bottom" wrapText="0"/>
    </xf>
    <xf borderId="0" fillId="0" fontId="4" numFmtId="0" xfId="0" applyAlignment="1" applyFont="1">
      <alignment shrinkToFit="0" vertical="bottom" wrapText="0"/>
    </xf>
    <xf borderId="0" fillId="0" fontId="5" numFmtId="0" xfId="0" applyAlignment="1" applyFont="1">
      <alignment shrinkToFit="0" vertical="top" wrapText="0"/>
    </xf>
    <xf borderId="0" fillId="0" fontId="6" numFmtId="0" xfId="0" applyAlignment="1" applyFont="1">
      <alignment shrinkToFit="0" vertical="bottom" wrapText="0"/>
    </xf>
    <xf borderId="0" fillId="2" fontId="7" numFmtId="0" xfId="0" applyAlignment="1" applyFill="1" applyFont="1">
      <alignment horizontal="center" shrinkToFit="0" vertical="bottom" wrapText="0"/>
    </xf>
    <xf borderId="0" fillId="0" fontId="8" numFmtId="0" xfId="0" applyAlignment="1" applyFont="1">
      <alignment shrinkToFit="0" vertical="top" wrapText="1"/>
    </xf>
    <xf borderId="1" fillId="2" fontId="7" numFmtId="0" xfId="0" applyAlignment="1" applyBorder="1" applyFill="1" applyFont="1">
      <alignment horizontal="center" shrinkToFit="0" vertical="center" wrapText="1"/>
    </xf>
    <xf borderId="0" fillId="0" fontId="8" numFmtId="0" xfId="0" applyAlignment="1" applyFont="1">
      <alignment shrinkToFit="0" vertical="bottom" wrapText="0"/>
    </xf>
    <xf borderId="0" fillId="2" fontId="9" numFmtId="0" xfId="0" applyAlignment="1" applyFill="1" applyFont="1">
      <alignment shrinkToFit="0" vertical="bottom" wrapText="0"/>
    </xf>
    <xf borderId="0" fillId="2" fontId="9" numFmtId="0" xfId="0" applyAlignment="1" applyFill="1" applyFont="1">
      <alignment horizontal="center" shrinkToFit="0" vertical="bottom" wrapText="0"/>
    </xf>
    <xf borderId="1" fillId="3" fontId="8" numFmtId="0" xfId="0" applyAlignment="1" applyBorder="1" applyFill="1" applyFont="1">
      <alignment horizontal="center" shrinkToFit="0" vertical="top" wrapText="0"/>
    </xf>
    <xf borderId="1" fillId="0" fontId="8" numFmtId="0" xfId="0" applyAlignment="1" applyBorder="1" applyFont="1">
      <alignment shrinkToFit="0" vertical="bottom" wrapText="0"/>
    </xf>
    <xf borderId="1" fillId="3" fontId="8" numFmtId="0" xfId="0" applyAlignment="1" applyBorder="1" applyFill="1" applyFont="1">
      <alignment horizontal="left" shrinkToFit="0" vertical="top" wrapText="1"/>
    </xf>
    <xf borderId="1" fillId="0" fontId="8" numFmtId="0" xfId="0" applyAlignment="1" applyBorder="1" applyFont="1">
      <alignment horizontal="center" shrinkToFit="0" vertical="bottom" wrapText="0"/>
    </xf>
    <xf borderId="1" fillId="3" fontId="8" numFmtId="0" xfId="0" applyAlignment="1" applyBorder="1" applyFill="1" applyFont="1">
      <alignment horizontal="left" shrinkToFit="0" vertical="top" wrapText="0"/>
    </xf>
    <xf borderId="1" fillId="3" fontId="8" numFmtId="164" xfId="0" applyAlignment="1" applyBorder="1" applyFill="1" applyFont="1" applyNumberFormat="1">
      <alignment horizontal="center" shrinkToFit="0" vertical="top" wrapText="0"/>
    </xf>
    <xf borderId="1" fillId="0" fontId="8" numFmtId="0" xfId="0" applyAlignment="1" applyBorder="1" applyFont="1">
      <alignment horizontal="center" shrinkToFit="0" vertical="top" wrapText="0"/>
    </xf>
    <xf borderId="1" fillId="0" fontId="8" numFmtId="0" xfId="0" applyAlignment="1" applyBorder="1" applyFont="1">
      <alignment horizontal="left" shrinkToFit="0" vertical="top" wrapText="1"/>
    </xf>
    <xf borderId="1" fillId="0" fontId="8" numFmtId="0" xfId="0" applyAlignment="1" applyBorder="1" applyFont="1">
      <alignment horizontal="left" shrinkToFit="0" vertical="top" wrapText="0"/>
    </xf>
    <xf borderId="1" fillId="0" fontId="8" numFmtId="164" xfId="0" applyAlignment="1" applyBorder="1" applyFont="1" applyNumberFormat="1">
      <alignment horizontal="center" shrinkToFit="0" vertical="top" wrapText="0"/>
    </xf>
    <xf borderId="1" fillId="3" fontId="8" numFmtId="0" xfId="0" applyAlignment="1" applyBorder="1" applyFill="1" applyFont="1">
      <alignment horizontal="left" readingOrder="0" shrinkToFit="0" vertical="top" wrapText="0"/>
    </xf>
    <xf borderId="1" fillId="3" fontId="8" numFmtId="0" xfId="0" applyAlignment="1" applyBorder="1" applyFill="1" applyFont="1">
      <alignment horizontal="center" readingOrder="0" shrinkToFit="0" vertical="top" wrapText="0"/>
    </xf>
    <xf borderId="0" fillId="0" fontId="8" numFmtId="164" xfId="0" applyAlignment="1" applyFont="1" applyNumberFormat="1">
      <alignment horizontal="center" readingOrder="0" shrinkToFit="0" vertical="top" wrapText="1"/>
    </xf>
    <xf borderId="1" fillId="3" fontId="8" numFmtId="0" xfId="0" applyAlignment="1" applyBorder="1" applyFill="1" applyFont="1">
      <alignment horizontal="left" readingOrder="0" shrinkToFit="0" vertical="top" wrapText="1"/>
    </xf>
    <xf borderId="1" fillId="0" fontId="8" numFmtId="0" xfId="0" applyAlignment="1" applyBorder="1" applyFont="1">
      <alignment horizontal="center" readingOrder="0" shrinkToFit="0" vertical="top" wrapText="0"/>
    </xf>
    <xf borderId="1" fillId="0" fontId="8" numFmtId="0" xfId="0" applyAlignment="1" applyBorder="1" applyFont="1">
      <alignment horizontal="left" readingOrder="0" shrinkToFit="0" vertical="top" wrapText="1"/>
    </xf>
    <xf borderId="0" fillId="0" fontId="8" numFmtId="0" xfId="0" applyAlignment="1" applyFont="1">
      <alignment readingOrder="0" shrinkToFit="0" vertical="top" wrapText="1"/>
    </xf>
    <xf borderId="1" fillId="3" fontId="8" numFmtId="164" xfId="0" applyAlignment="1" applyBorder="1" applyFill="1" applyFont="1" applyNumberFormat="1">
      <alignment horizontal="center" readingOrder="0" shrinkToFit="0" vertical="top" wrapText="0"/>
    </xf>
    <xf borderId="1" fillId="0" fontId="8" numFmtId="0" xfId="0" applyAlignment="1" applyBorder="1" applyFont="1">
      <alignment horizontal="left" readingOrder="0" shrinkToFit="0" vertical="top" wrapText="0"/>
    </xf>
    <xf borderId="1" fillId="0" fontId="8" numFmtId="164" xfId="0" applyAlignment="1" applyBorder="1" applyFont="1" applyNumberFormat="1">
      <alignment horizontal="center" readingOrder="0" shrinkToFit="0" vertical="top" wrapText="0"/>
    </xf>
    <xf borderId="1" fillId="0" fontId="8" numFmtId="0" xfId="0" applyAlignment="1" applyBorder="1" applyFont="1">
      <alignment horizontal="center" readingOrder="0" shrinkToFit="0" vertical="top" wrapText="1"/>
    </xf>
    <xf borderId="0" fillId="0" fontId="8" numFmtId="0" xfId="0" applyAlignment="1" applyFont="1">
      <alignment readingOrder="0" shrinkToFit="0" wrapText="1"/>
    </xf>
    <xf borderId="1" fillId="3" fontId="8" numFmtId="0" xfId="0" applyAlignment="1" applyBorder="1" applyFill="1" applyFont="1">
      <alignment horizontal="center" readingOrder="0" shrinkToFit="0" vertical="top" wrapText="1"/>
    </xf>
    <xf borderId="0" fillId="3" fontId="8" numFmtId="0" xfId="0" applyAlignment="1" applyFill="1" applyFont="1">
      <alignment readingOrder="0" shrinkToFit="0" wrapText="1"/>
    </xf>
    <xf borderId="0" fillId="0" fontId="10" numFmtId="0" xfId="0" applyFont="1"/>
  </cellXfs>
  <cellStyles count="1">
    <cellStyle xfId="0" name="Normal" builtinId="0"/>
  </cellStyles>
  <dxfs count="6">
    <dxf>
      <font>
        <b/>
        <sz val="10.0"/>
        <color rgb="FF006100"/>
        <name val="Arial"/>
      </font>
      <fill>
        <patternFill patternType="solid">
          <fgColor rgb="FFC6EFCE"/>
          <bgColor rgb="FFC6EFCE"/>
        </patternFill>
      </fill>
      <border/>
    </dxf>
    <dxf>
      <font>
        <b/>
        <sz val="10.0"/>
        <color rgb="FF9C0006"/>
        <name val="Arial"/>
      </font>
      <fill>
        <patternFill patternType="solid">
          <fgColor rgb="FFFFC7CE"/>
          <bgColor rgb="FFFFC7CE"/>
        </patternFill>
      </fill>
      <border/>
    </dxf>
    <dxf>
      <font>
        <b/>
        <sz val="10.0"/>
        <color rgb="FF9C6500"/>
        <name val="Arial"/>
      </font>
      <fill>
        <patternFill patternType="solid">
          <fgColor rgb="FFFFEB9C"/>
          <bgColor rgb="FFFFEB9C"/>
        </patternFill>
      </fill>
      <border/>
    </dxf>
    <dxf>
      <font>
        <b/>
        <sz val="10.0"/>
        <color rgb="FF3F3F3F"/>
        <name val="Arial"/>
      </font>
      <fill>
        <patternFill patternType="solid">
          <fgColor rgb="FFD9D9D9"/>
          <bgColor rgb="FFD9D9D9"/>
        </patternFill>
      </fill>
      <border/>
    </dxf>
    <dxf>
      <font>
        <b/>
        <sz val="10.0"/>
        <color rgb="FF1F3864"/>
        <name val="Arial"/>
      </font>
      <fill>
        <patternFill patternType="solid">
          <fgColor rgb="FFDDEBF7"/>
          <bgColor rgb="FFDDEBF7"/>
        </patternFill>
      </fill>
      <border/>
    </dxf>
    <dxf>
      <font>
        <b/>
        <sz val="10.0"/>
        <color rgb="FF808080"/>
        <name val="Arial"/>
      </font>
      <fill>
        <patternFill patternType="solid">
          <fgColor rgb="FFEDEDED"/>
          <bgColor rgb="FFEDEDED"/>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6.png"/><Relationship Id="rId3" Type="http://schemas.openxmlformats.org/officeDocument/2006/relationships/image" Target="../media/image5.png"/><Relationship Id="rId4" Type="http://schemas.openxmlformats.org/officeDocument/2006/relationships/image" Target="../media/image7.jpg"/><Relationship Id="rId5" Type="http://schemas.openxmlformats.org/officeDocument/2006/relationships/image" Target="../media/image4.png"/><Relationship Id="rId6" Type="http://schemas.openxmlformats.org/officeDocument/2006/relationships/image" Target="../media/image1.png"/><Relationship Id="rId7"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1057275</xdr:colOff>
      <xdr:row>1</xdr:row>
      <xdr:rowOff>161925</xdr:rowOff>
    </xdr:from>
    <xdr:ext cx="3486150" cy="733425"/>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oneCellAnchor>
    <xdr:from>
      <xdr:col>12</xdr:col>
      <xdr:colOff>809625</xdr:colOff>
      <xdr:row>2</xdr:row>
      <xdr:rowOff>190500</xdr:rowOff>
    </xdr:from>
    <xdr:ext cx="1847850" cy="1019175"/>
    <xdr:pic>
      <xdr:nvPicPr>
        <xdr:cNvPr id="0" name="image6.png"/>
        <xdr:cNvPicPr preferRelativeResize="0"/>
      </xdr:nvPicPr>
      <xdr:blipFill>
        <a:blip cstate="print" r:embed="rId2"/>
        <a:stretch>
          <a:fillRect/>
        </a:stretch>
      </xdr:blipFill>
      <xdr:spPr>
        <a:prstGeom prst="rect">
          <a:avLst/>
        </a:prstGeom>
        <a:noFill/>
      </xdr:spPr>
    </xdr:pic>
    <xdr:clientData fLocksWithSheet="0"/>
  </xdr:oneCellAnchor>
  <xdr:oneCellAnchor>
    <xdr:from>
      <xdr:col>12</xdr:col>
      <xdr:colOff>838200</xdr:colOff>
      <xdr:row>4</xdr:row>
      <xdr:rowOff>371475</xdr:rowOff>
    </xdr:from>
    <xdr:ext cx="1800225" cy="1228725"/>
    <xdr:pic>
      <xdr:nvPicPr>
        <xdr:cNvPr id="0" name="image5.png" title="Imagen"/>
        <xdr:cNvPicPr preferRelativeResize="0"/>
      </xdr:nvPicPr>
      <xdr:blipFill>
        <a:blip cstate="print" r:embed="rId3"/>
        <a:stretch>
          <a:fillRect/>
        </a:stretch>
      </xdr:blipFill>
      <xdr:spPr>
        <a:prstGeom prst="rect">
          <a:avLst/>
        </a:prstGeom>
        <a:noFill/>
      </xdr:spPr>
    </xdr:pic>
    <xdr:clientData fLocksWithSheet="0"/>
  </xdr:oneCellAnchor>
  <xdr:oneCellAnchor>
    <xdr:from>
      <xdr:col>12</xdr:col>
      <xdr:colOff>133350</xdr:colOff>
      <xdr:row>33</xdr:row>
      <xdr:rowOff>571500</xdr:rowOff>
    </xdr:from>
    <xdr:ext cx="3000375" cy="1657350"/>
    <xdr:pic>
      <xdr:nvPicPr>
        <xdr:cNvPr id="0" name="image7.jpg" title="Imagen"/>
        <xdr:cNvPicPr preferRelativeResize="0"/>
      </xdr:nvPicPr>
      <xdr:blipFill>
        <a:blip cstate="print" r:embed="rId4"/>
        <a:stretch>
          <a:fillRect/>
        </a:stretch>
      </xdr:blipFill>
      <xdr:spPr>
        <a:prstGeom prst="rect">
          <a:avLst/>
        </a:prstGeom>
        <a:noFill/>
      </xdr:spPr>
    </xdr:pic>
    <xdr:clientData fLocksWithSheet="0"/>
  </xdr:oneCellAnchor>
  <xdr:oneCellAnchor>
    <xdr:from>
      <xdr:col>11</xdr:col>
      <xdr:colOff>1057275</xdr:colOff>
      <xdr:row>28</xdr:row>
      <xdr:rowOff>571500</xdr:rowOff>
    </xdr:from>
    <xdr:ext cx="3429000" cy="1343025"/>
    <xdr:pic>
      <xdr:nvPicPr>
        <xdr:cNvPr id="0" name="image4.png" title="Imagen"/>
        <xdr:cNvPicPr preferRelativeResize="0"/>
      </xdr:nvPicPr>
      <xdr:blipFill>
        <a:blip cstate="print" r:embed="rId5"/>
        <a:stretch>
          <a:fillRect/>
        </a:stretch>
      </xdr:blipFill>
      <xdr:spPr>
        <a:prstGeom prst="rect">
          <a:avLst/>
        </a:prstGeom>
        <a:noFill/>
      </xdr:spPr>
    </xdr:pic>
    <xdr:clientData fLocksWithSheet="0"/>
  </xdr:oneCellAnchor>
  <xdr:oneCellAnchor>
    <xdr:from>
      <xdr:col>11</xdr:col>
      <xdr:colOff>1066800</xdr:colOff>
      <xdr:row>29</xdr:row>
      <xdr:rowOff>1438275</xdr:rowOff>
    </xdr:from>
    <xdr:ext cx="3429000" cy="1019175"/>
    <xdr:pic>
      <xdr:nvPicPr>
        <xdr:cNvPr id="0" name="image1.png" title="Imagen"/>
        <xdr:cNvPicPr preferRelativeResize="0"/>
      </xdr:nvPicPr>
      <xdr:blipFill>
        <a:blip cstate="print" r:embed="rId6"/>
        <a:stretch>
          <a:fillRect/>
        </a:stretch>
      </xdr:blipFill>
      <xdr:spPr>
        <a:prstGeom prst="rect">
          <a:avLst/>
        </a:prstGeom>
        <a:noFill/>
      </xdr:spPr>
    </xdr:pic>
    <xdr:clientData fLocksWithSheet="0"/>
  </xdr:oneCellAnchor>
  <xdr:oneCellAnchor>
    <xdr:from>
      <xdr:col>11</xdr:col>
      <xdr:colOff>1066800</xdr:colOff>
      <xdr:row>52</xdr:row>
      <xdr:rowOff>600075</xdr:rowOff>
    </xdr:from>
    <xdr:ext cx="3429000" cy="1019175"/>
    <xdr:pic>
      <xdr:nvPicPr>
        <xdr:cNvPr id="0" name="image3.png" title="Imagen"/>
        <xdr:cNvPicPr preferRelativeResize="0"/>
      </xdr:nvPicPr>
      <xdr:blipFill>
        <a:blip cstate="print" r:embed="rId7"/>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16.0"/>
    <col customWidth="1" min="3" max="3" width="105.0"/>
    <col customWidth="1" min="4" max="6" width="8.71"/>
  </cols>
  <sheetData>
    <row r="2">
      <c r="B2" s="1" t="s">
        <v>0</v>
      </c>
    </row>
    <row r="3">
      <c r="B3" s="3" t="s">
        <v>2</v>
      </c>
    </row>
    <row r="5">
      <c r="B5" s="4" t="s">
        <v>4</v>
      </c>
    </row>
    <row r="6">
      <c r="B6" s="5" t="s">
        <v>5</v>
      </c>
      <c r="C6" s="8" t="s">
        <v>8</v>
      </c>
    </row>
    <row r="7">
      <c r="B7" s="5" t="s">
        <v>13</v>
      </c>
      <c r="C7" s="8" t="s">
        <v>15</v>
      </c>
    </row>
    <row r="8">
      <c r="B8" s="5" t="s">
        <v>16</v>
      </c>
      <c r="C8" s="8" t="s">
        <v>19</v>
      </c>
    </row>
    <row r="9">
      <c r="B9" s="5" t="s">
        <v>21</v>
      </c>
      <c r="C9" s="8" t="s">
        <v>23</v>
      </c>
    </row>
    <row r="10">
      <c r="B10" s="5" t="s">
        <v>25</v>
      </c>
      <c r="C10" s="8" t="s">
        <v>28</v>
      </c>
    </row>
    <row r="12">
      <c r="B12" s="4" t="s">
        <v>40</v>
      </c>
    </row>
    <row r="13">
      <c r="B13" s="5"/>
      <c r="C13" s="8" t="s">
        <v>45</v>
      </c>
    </row>
    <row r="15">
      <c r="B15" s="4" t="s">
        <v>49</v>
      </c>
    </row>
    <row r="16">
      <c r="B16" s="5" t="s">
        <v>22</v>
      </c>
      <c r="C16" s="8" t="s">
        <v>52</v>
      </c>
    </row>
    <row r="17">
      <c r="B17" s="5" t="s">
        <v>33</v>
      </c>
      <c r="C17" s="8" t="s">
        <v>57</v>
      </c>
    </row>
    <row r="18">
      <c r="B18" s="5" t="s">
        <v>43</v>
      </c>
      <c r="C18" s="8" t="s">
        <v>61</v>
      </c>
    </row>
    <row r="19">
      <c r="B19" s="5" t="s">
        <v>53</v>
      </c>
      <c r="C19" s="8" t="s">
        <v>64</v>
      </c>
    </row>
    <row r="20">
      <c r="B20" s="5" t="s">
        <v>60</v>
      </c>
      <c r="C20" s="8" t="s">
        <v>67</v>
      </c>
    </row>
    <row r="21" ht="15.75" customHeight="1">
      <c r="B21" s="5" t="s">
        <v>68</v>
      </c>
      <c r="C21" s="8" t="s">
        <v>70</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1.0" topLeftCell="D2" activePane="bottomRight" state="frozen"/>
      <selection activeCell="D1" sqref="D1" pane="topRight"/>
      <selection activeCell="A2" sqref="A2" pane="bottomLeft"/>
      <selection activeCell="D2" sqref="D2" pane="bottomRight"/>
    </sheetView>
  </sheetViews>
  <sheetFormatPr customHeight="1" defaultColWidth="14.43" defaultRowHeight="15.0"/>
  <cols>
    <col customWidth="1" min="1" max="1" width="14.0"/>
    <col customWidth="1" min="2" max="2" width="30.0"/>
    <col customWidth="1" min="3" max="3" width="21.86"/>
    <col customWidth="1" min="4" max="4" width="16.0"/>
    <col customWidth="1" min="5" max="6" width="12.0"/>
    <col customWidth="1" min="7" max="7" width="11.43"/>
    <col customWidth="1" min="8" max="8" width="32.0"/>
    <col customWidth="1" min="9" max="9" width="42.0"/>
    <col customWidth="1" min="10" max="10" width="46.0"/>
    <col customWidth="1" min="11" max="11" width="15.0"/>
    <col customWidth="1" min="12" max="12" width="16.0"/>
    <col customWidth="1" min="13" max="13" width="52.14"/>
  </cols>
  <sheetData>
    <row r="1" ht="30.0" customHeight="1">
      <c r="A1" s="9" t="s">
        <v>9</v>
      </c>
      <c r="B1" s="9" t="s">
        <v>17</v>
      </c>
      <c r="C1" s="9" t="s">
        <v>20</v>
      </c>
      <c r="D1" s="9" t="s">
        <v>7</v>
      </c>
      <c r="E1" s="9" t="s">
        <v>11</v>
      </c>
      <c r="F1" s="9" t="s">
        <v>12</v>
      </c>
      <c r="G1" s="9" t="s">
        <v>14</v>
      </c>
      <c r="H1" s="9" t="s">
        <v>30</v>
      </c>
      <c r="I1" s="9" t="s">
        <v>31</v>
      </c>
      <c r="J1" s="9" t="s">
        <v>34</v>
      </c>
      <c r="K1" s="9" t="s">
        <v>10</v>
      </c>
      <c r="L1" s="9" t="s">
        <v>39</v>
      </c>
      <c r="M1" s="9" t="s">
        <v>42</v>
      </c>
    </row>
    <row r="2" ht="72.0" customHeight="1">
      <c r="A2" s="13" t="s">
        <v>50</v>
      </c>
      <c r="B2" s="15" t="s">
        <v>59</v>
      </c>
      <c r="C2" s="15" t="s">
        <v>65</v>
      </c>
      <c r="D2" s="13" t="s">
        <v>51</v>
      </c>
      <c r="E2" s="13" t="s">
        <v>24</v>
      </c>
      <c r="F2" s="13" t="s">
        <v>26</v>
      </c>
      <c r="G2" s="17" t="s">
        <v>38</v>
      </c>
      <c r="H2" s="15" t="s">
        <v>71</v>
      </c>
      <c r="I2" s="15" t="s">
        <v>72</v>
      </c>
      <c r="J2" s="15" t="s">
        <v>73</v>
      </c>
      <c r="K2" s="13" t="s">
        <v>43</v>
      </c>
      <c r="L2" s="18">
        <v>46285.0</v>
      </c>
      <c r="M2" s="15" t="s">
        <v>74</v>
      </c>
    </row>
    <row r="3" ht="101.25" customHeight="1">
      <c r="A3" s="19" t="s">
        <v>75</v>
      </c>
      <c r="B3" s="20" t="s">
        <v>59</v>
      </c>
      <c r="C3" s="20" t="s">
        <v>76</v>
      </c>
      <c r="D3" s="19" t="s">
        <v>58</v>
      </c>
      <c r="E3" s="19" t="s">
        <v>24</v>
      </c>
      <c r="F3" s="19" t="s">
        <v>26</v>
      </c>
      <c r="G3" s="21" t="s">
        <v>38</v>
      </c>
      <c r="H3" s="20" t="s">
        <v>77</v>
      </c>
      <c r="I3" s="20" t="s">
        <v>78</v>
      </c>
      <c r="J3" s="20" t="s">
        <v>79</v>
      </c>
      <c r="K3" s="19" t="s">
        <v>43</v>
      </c>
      <c r="L3" s="18">
        <v>46285.0</v>
      </c>
      <c r="M3" s="20" t="s">
        <v>80</v>
      </c>
    </row>
    <row r="4">
      <c r="A4" s="13" t="s">
        <v>81</v>
      </c>
      <c r="B4" s="15" t="s">
        <v>59</v>
      </c>
      <c r="C4" s="15" t="s">
        <v>82</v>
      </c>
      <c r="D4" s="13" t="s">
        <v>58</v>
      </c>
      <c r="E4" s="13" t="s">
        <v>24</v>
      </c>
      <c r="F4" s="13" t="s">
        <v>26</v>
      </c>
      <c r="G4" s="17" t="s">
        <v>48</v>
      </c>
      <c r="H4" s="15" t="s">
        <v>84</v>
      </c>
      <c r="I4" s="15" t="s">
        <v>85</v>
      </c>
      <c r="J4" s="15" t="s">
        <v>86</v>
      </c>
      <c r="K4" s="13" t="s">
        <v>43</v>
      </c>
      <c r="L4" s="18">
        <v>46284.0</v>
      </c>
      <c r="M4" s="15" t="s">
        <v>87</v>
      </c>
    </row>
    <row r="5" ht="135.75" customHeight="1">
      <c r="A5" s="19" t="s">
        <v>88</v>
      </c>
      <c r="B5" s="20" t="s">
        <v>59</v>
      </c>
      <c r="C5" s="20" t="s">
        <v>89</v>
      </c>
      <c r="D5" s="19" t="s">
        <v>32</v>
      </c>
      <c r="E5" s="19" t="s">
        <v>24</v>
      </c>
      <c r="F5" s="19" t="s">
        <v>26</v>
      </c>
      <c r="G5" s="21" t="s">
        <v>38</v>
      </c>
      <c r="H5" s="20" t="s">
        <v>77</v>
      </c>
      <c r="I5" s="20" t="s">
        <v>90</v>
      </c>
      <c r="J5" s="20" t="s">
        <v>91</v>
      </c>
      <c r="K5" s="19" t="s">
        <v>43</v>
      </c>
      <c r="L5" s="22">
        <v>46285.0</v>
      </c>
      <c r="M5" s="20" t="s">
        <v>92</v>
      </c>
    </row>
    <row r="6">
      <c r="A6" s="13" t="s">
        <v>93</v>
      </c>
      <c r="B6" s="15" t="s">
        <v>94</v>
      </c>
      <c r="C6" s="15" t="s">
        <v>95</v>
      </c>
      <c r="D6" s="13" t="s">
        <v>32</v>
      </c>
      <c r="E6" s="13" t="s">
        <v>24</v>
      </c>
      <c r="F6" s="13" t="s">
        <v>26</v>
      </c>
      <c r="G6" s="17" t="s">
        <v>48</v>
      </c>
      <c r="H6" s="15" t="s">
        <v>96</v>
      </c>
      <c r="I6" s="15" t="s">
        <v>97</v>
      </c>
      <c r="J6" s="15" t="s">
        <v>98</v>
      </c>
      <c r="K6" s="13" t="s">
        <v>43</v>
      </c>
      <c r="L6" s="18">
        <v>46284.0</v>
      </c>
      <c r="M6" s="15" t="s">
        <v>99</v>
      </c>
    </row>
    <row r="7" ht="105.0" customHeight="1">
      <c r="A7" s="19" t="s">
        <v>100</v>
      </c>
      <c r="B7" s="20" t="s">
        <v>94</v>
      </c>
      <c r="C7" s="20" t="s">
        <v>101</v>
      </c>
      <c r="D7" s="19" t="s">
        <v>58</v>
      </c>
      <c r="E7" s="19" t="s">
        <v>24</v>
      </c>
      <c r="F7" s="19" t="s">
        <v>26</v>
      </c>
      <c r="G7" s="21" t="s">
        <v>48</v>
      </c>
      <c r="H7" s="20" t="s">
        <v>102</v>
      </c>
      <c r="I7" s="20" t="s">
        <v>103</v>
      </c>
      <c r="J7" s="20" t="s">
        <v>104</v>
      </c>
      <c r="K7" s="19" t="s">
        <v>43</v>
      </c>
      <c r="L7" s="22">
        <v>46289.0</v>
      </c>
      <c r="M7" s="20" t="s">
        <v>105</v>
      </c>
    </row>
    <row r="8" ht="45.75" customHeight="1">
      <c r="A8" s="13" t="s">
        <v>106</v>
      </c>
      <c r="B8" s="15" t="s">
        <v>94</v>
      </c>
      <c r="C8" s="15" t="s">
        <v>107</v>
      </c>
      <c r="D8" s="13" t="s">
        <v>41</v>
      </c>
      <c r="E8" s="13" t="s">
        <v>24</v>
      </c>
      <c r="F8" s="13" t="s">
        <v>26</v>
      </c>
      <c r="G8" s="23" t="s">
        <v>56</v>
      </c>
      <c r="H8" s="15" t="s">
        <v>108</v>
      </c>
      <c r="I8" s="15" t="s">
        <v>110</v>
      </c>
      <c r="J8" s="15" t="s">
        <v>111</v>
      </c>
      <c r="K8" s="24" t="s">
        <v>43</v>
      </c>
      <c r="L8" s="25">
        <v>46296.0</v>
      </c>
      <c r="M8" s="26" t="s">
        <v>112</v>
      </c>
    </row>
    <row r="9" ht="45.75" customHeight="1">
      <c r="A9" s="19" t="s">
        <v>113</v>
      </c>
      <c r="B9" s="20" t="s">
        <v>114</v>
      </c>
      <c r="C9" s="20" t="s">
        <v>115</v>
      </c>
      <c r="D9" s="19" t="s">
        <v>32</v>
      </c>
      <c r="E9" s="19" t="s">
        <v>36</v>
      </c>
      <c r="F9" s="19" t="s">
        <v>26</v>
      </c>
      <c r="G9" s="21" t="s">
        <v>63</v>
      </c>
      <c r="H9" s="20" t="s">
        <v>116</v>
      </c>
      <c r="I9" s="20" t="s">
        <v>117</v>
      </c>
      <c r="J9" s="20" t="s">
        <v>118</v>
      </c>
      <c r="K9" s="27" t="s">
        <v>43</v>
      </c>
      <c r="L9" s="25">
        <v>46300.0</v>
      </c>
      <c r="M9" s="28" t="s">
        <v>119</v>
      </c>
    </row>
    <row r="10" ht="45.75" customHeight="1">
      <c r="A10" s="13" t="s">
        <v>120</v>
      </c>
      <c r="B10" s="15" t="s">
        <v>114</v>
      </c>
      <c r="C10" s="15" t="s">
        <v>121</v>
      </c>
      <c r="D10" s="13" t="s">
        <v>51</v>
      </c>
      <c r="E10" s="13" t="s">
        <v>36</v>
      </c>
      <c r="F10" s="13" t="s">
        <v>26</v>
      </c>
      <c r="G10" s="17" t="s">
        <v>63</v>
      </c>
      <c r="H10" s="15" t="s">
        <v>122</v>
      </c>
      <c r="I10" s="15" t="s">
        <v>123</v>
      </c>
      <c r="J10" s="15" t="s">
        <v>124</v>
      </c>
      <c r="K10" s="24" t="s">
        <v>43</v>
      </c>
      <c r="L10" s="25">
        <v>46300.0</v>
      </c>
      <c r="M10" s="26" t="s">
        <v>125</v>
      </c>
    </row>
    <row r="11" ht="45.75" customHeight="1">
      <c r="A11" s="19" t="s">
        <v>126</v>
      </c>
      <c r="B11" s="20" t="s">
        <v>114</v>
      </c>
      <c r="C11" s="20" t="s">
        <v>127</v>
      </c>
      <c r="D11" s="19" t="s">
        <v>32</v>
      </c>
      <c r="E11" s="19" t="s">
        <v>36</v>
      </c>
      <c r="F11" s="19" t="s">
        <v>26</v>
      </c>
      <c r="G11" s="21" t="s">
        <v>63</v>
      </c>
      <c r="H11" s="20" t="s">
        <v>128</v>
      </c>
      <c r="I11" s="20" t="s">
        <v>129</v>
      </c>
      <c r="J11" s="20" t="s">
        <v>130</v>
      </c>
      <c r="K11" s="27" t="s">
        <v>43</v>
      </c>
      <c r="L11" s="25">
        <v>46300.0</v>
      </c>
      <c r="M11" s="28" t="s">
        <v>131</v>
      </c>
    </row>
    <row r="12" ht="45.75" customHeight="1">
      <c r="A12" s="13" t="s">
        <v>132</v>
      </c>
      <c r="B12" s="15" t="s">
        <v>133</v>
      </c>
      <c r="C12" s="15" t="s">
        <v>134</v>
      </c>
      <c r="D12" s="13" t="s">
        <v>18</v>
      </c>
      <c r="E12" s="13" t="s">
        <v>24</v>
      </c>
      <c r="F12" s="13" t="s">
        <v>26</v>
      </c>
      <c r="G12" s="17" t="s">
        <v>48</v>
      </c>
      <c r="H12" s="15" t="s">
        <v>135</v>
      </c>
      <c r="I12" s="15" t="s">
        <v>136</v>
      </c>
      <c r="J12" s="15" t="s">
        <v>137</v>
      </c>
      <c r="K12" s="13" t="s">
        <v>43</v>
      </c>
      <c r="L12" s="18">
        <v>46284.0</v>
      </c>
      <c r="M12" s="15" t="s">
        <v>138</v>
      </c>
    </row>
    <row r="13" ht="45.75" customHeight="1">
      <c r="A13" s="19" t="s">
        <v>139</v>
      </c>
      <c r="B13" s="20" t="s">
        <v>133</v>
      </c>
      <c r="C13" s="20" t="s">
        <v>140</v>
      </c>
      <c r="D13" s="19" t="s">
        <v>32</v>
      </c>
      <c r="E13" s="19" t="s">
        <v>24</v>
      </c>
      <c r="F13" s="19" t="s">
        <v>26</v>
      </c>
      <c r="G13" s="21" t="s">
        <v>48</v>
      </c>
      <c r="H13" s="20" t="s">
        <v>141</v>
      </c>
      <c r="I13" s="20" t="s">
        <v>142</v>
      </c>
      <c r="J13" s="20" t="s">
        <v>143</v>
      </c>
      <c r="K13" s="19" t="s">
        <v>43</v>
      </c>
      <c r="L13" s="22">
        <v>46284.0</v>
      </c>
      <c r="M13" s="20" t="s">
        <v>144</v>
      </c>
    </row>
    <row r="14" ht="45.75" customHeight="1">
      <c r="A14" s="13" t="s">
        <v>145</v>
      </c>
      <c r="B14" s="15" t="s">
        <v>133</v>
      </c>
      <c r="C14" s="15" t="s">
        <v>146</v>
      </c>
      <c r="D14" s="13" t="s">
        <v>32</v>
      </c>
      <c r="E14" s="13" t="s">
        <v>24</v>
      </c>
      <c r="F14" s="13" t="s">
        <v>26</v>
      </c>
      <c r="G14" s="17" t="s">
        <v>48</v>
      </c>
      <c r="H14" s="15" t="s">
        <v>141</v>
      </c>
      <c r="I14" s="15" t="s">
        <v>147</v>
      </c>
      <c r="J14" s="15" t="s">
        <v>148</v>
      </c>
      <c r="K14" s="13" t="s">
        <v>43</v>
      </c>
      <c r="L14" s="18">
        <v>46284.0</v>
      </c>
      <c r="M14" s="15" t="s">
        <v>149</v>
      </c>
    </row>
    <row r="15" ht="45.75" customHeight="1">
      <c r="A15" s="24" t="s">
        <v>150</v>
      </c>
      <c r="B15" s="15" t="s">
        <v>133</v>
      </c>
      <c r="C15" s="29" t="s">
        <v>151</v>
      </c>
      <c r="D15" s="24" t="s">
        <v>32</v>
      </c>
      <c r="E15" s="24" t="s">
        <v>24</v>
      </c>
      <c r="F15" s="24" t="s">
        <v>26</v>
      </c>
      <c r="G15" s="23" t="s">
        <v>56</v>
      </c>
      <c r="H15" s="26" t="s">
        <v>152</v>
      </c>
      <c r="I15" s="26" t="s">
        <v>153</v>
      </c>
      <c r="J15" s="26" t="s">
        <v>154</v>
      </c>
      <c r="K15" s="24" t="s">
        <v>43</v>
      </c>
      <c r="L15" s="30">
        <v>46296.0</v>
      </c>
      <c r="M15" s="26" t="s">
        <v>155</v>
      </c>
    </row>
    <row r="16" ht="45.75" customHeight="1">
      <c r="A16" s="24" t="s">
        <v>156</v>
      </c>
      <c r="B16" s="15" t="s">
        <v>133</v>
      </c>
      <c r="C16" s="29" t="s">
        <v>157</v>
      </c>
      <c r="D16" s="24" t="s">
        <v>32</v>
      </c>
      <c r="E16" s="24" t="s">
        <v>36</v>
      </c>
      <c r="F16" s="24" t="s">
        <v>26</v>
      </c>
      <c r="G16" s="23" t="s">
        <v>56</v>
      </c>
      <c r="H16" s="26" t="s">
        <v>158</v>
      </c>
      <c r="I16" s="26" t="s">
        <v>159</v>
      </c>
      <c r="J16" s="26" t="s">
        <v>160</v>
      </c>
      <c r="K16" s="24" t="s">
        <v>43</v>
      </c>
      <c r="L16" s="30">
        <v>46296.0</v>
      </c>
      <c r="M16" s="26" t="s">
        <v>161</v>
      </c>
    </row>
    <row r="17" ht="45.75" customHeight="1">
      <c r="A17" s="19" t="s">
        <v>162</v>
      </c>
      <c r="B17" s="20" t="s">
        <v>163</v>
      </c>
      <c r="C17" s="20" t="s">
        <v>164</v>
      </c>
      <c r="D17" s="19" t="s">
        <v>41</v>
      </c>
      <c r="E17" s="19" t="s">
        <v>36</v>
      </c>
      <c r="F17" s="19" t="s">
        <v>26</v>
      </c>
      <c r="G17" s="21" t="s">
        <v>63</v>
      </c>
      <c r="H17" s="20" t="s">
        <v>165</v>
      </c>
      <c r="I17" s="20"/>
      <c r="J17" s="20" t="s">
        <v>166</v>
      </c>
      <c r="K17" s="27" t="s">
        <v>43</v>
      </c>
      <c r="L17" s="30">
        <v>46296.0</v>
      </c>
      <c r="M17" s="28" t="s">
        <v>167</v>
      </c>
    </row>
    <row r="18" ht="45.75" customHeight="1">
      <c r="A18" s="13" t="s">
        <v>168</v>
      </c>
      <c r="B18" s="15" t="s">
        <v>163</v>
      </c>
      <c r="C18" s="15" t="s">
        <v>169</v>
      </c>
      <c r="D18" s="13" t="s">
        <v>32</v>
      </c>
      <c r="E18" s="13" t="s">
        <v>36</v>
      </c>
      <c r="F18" s="13" t="s">
        <v>26</v>
      </c>
      <c r="G18" s="17" t="s">
        <v>63</v>
      </c>
      <c r="H18" s="15" t="s">
        <v>170</v>
      </c>
      <c r="I18" s="15" t="s">
        <v>171</v>
      </c>
      <c r="J18" s="15" t="s">
        <v>172</v>
      </c>
      <c r="K18" s="24" t="s">
        <v>43</v>
      </c>
      <c r="L18" s="30">
        <v>46296.0</v>
      </c>
      <c r="M18" s="26" t="s">
        <v>173</v>
      </c>
    </row>
    <row r="19" ht="45.75" customHeight="1">
      <c r="A19" s="19" t="s">
        <v>174</v>
      </c>
      <c r="B19" s="20" t="s">
        <v>163</v>
      </c>
      <c r="C19" s="20" t="s">
        <v>175</v>
      </c>
      <c r="D19" s="19" t="s">
        <v>51</v>
      </c>
      <c r="E19" s="19" t="s">
        <v>36</v>
      </c>
      <c r="F19" s="19" t="s">
        <v>26</v>
      </c>
      <c r="G19" s="21" t="s">
        <v>48</v>
      </c>
      <c r="H19" s="20" t="s">
        <v>176</v>
      </c>
      <c r="I19" s="20" t="s">
        <v>177</v>
      </c>
      <c r="J19" s="20" t="s">
        <v>178</v>
      </c>
      <c r="K19" s="19" t="s">
        <v>43</v>
      </c>
      <c r="L19" s="22">
        <v>46284.0</v>
      </c>
      <c r="M19" s="20" t="s">
        <v>179</v>
      </c>
    </row>
    <row r="20" ht="45.75" customHeight="1">
      <c r="A20" s="13" t="s">
        <v>180</v>
      </c>
      <c r="B20" s="15" t="s">
        <v>163</v>
      </c>
      <c r="C20" s="15" t="s">
        <v>181</v>
      </c>
      <c r="D20" s="13" t="s">
        <v>41</v>
      </c>
      <c r="E20" s="13" t="s">
        <v>36</v>
      </c>
      <c r="F20" s="13" t="s">
        <v>26</v>
      </c>
      <c r="G20" s="17" t="s">
        <v>63</v>
      </c>
      <c r="H20" s="15" t="s">
        <v>182</v>
      </c>
      <c r="I20" s="15" t="s">
        <v>183</v>
      </c>
      <c r="J20" s="15" t="s">
        <v>184</v>
      </c>
      <c r="K20" s="24" t="s">
        <v>43</v>
      </c>
      <c r="L20" s="30">
        <v>46296.0</v>
      </c>
      <c r="M20" s="26" t="s">
        <v>185</v>
      </c>
    </row>
    <row r="21" ht="45.75" customHeight="1">
      <c r="A21" s="19" t="s">
        <v>186</v>
      </c>
      <c r="B21" s="20" t="s">
        <v>187</v>
      </c>
      <c r="C21" s="20" t="s">
        <v>188</v>
      </c>
      <c r="D21" s="19" t="s">
        <v>32</v>
      </c>
      <c r="E21" s="19" t="s">
        <v>24</v>
      </c>
      <c r="F21" s="19" t="s">
        <v>26</v>
      </c>
      <c r="G21" s="21" t="s">
        <v>48</v>
      </c>
      <c r="H21" s="20" t="s">
        <v>189</v>
      </c>
      <c r="I21" s="20" t="s">
        <v>190</v>
      </c>
      <c r="J21" s="20" t="s">
        <v>191</v>
      </c>
      <c r="K21" s="19" t="s">
        <v>43</v>
      </c>
      <c r="L21" s="22">
        <v>46284.0</v>
      </c>
      <c r="M21" s="20" t="s">
        <v>192</v>
      </c>
    </row>
    <row r="22" ht="45.75" customHeight="1">
      <c r="A22" s="13" t="s">
        <v>193</v>
      </c>
      <c r="B22" s="15" t="s">
        <v>187</v>
      </c>
      <c r="C22" s="15" t="s">
        <v>194</v>
      </c>
      <c r="D22" s="13" t="s">
        <v>41</v>
      </c>
      <c r="E22" s="13" t="s">
        <v>24</v>
      </c>
      <c r="F22" s="13" t="s">
        <v>26</v>
      </c>
      <c r="G22" s="17" t="s">
        <v>48</v>
      </c>
      <c r="H22" s="15" t="s">
        <v>195</v>
      </c>
      <c r="I22" s="15" t="s">
        <v>196</v>
      </c>
      <c r="J22" s="15" t="s">
        <v>197</v>
      </c>
      <c r="K22" s="13" t="s">
        <v>43</v>
      </c>
      <c r="L22" s="18">
        <v>46284.0</v>
      </c>
      <c r="M22" s="15" t="s">
        <v>198</v>
      </c>
    </row>
    <row r="23" ht="45.75" customHeight="1">
      <c r="A23" s="19" t="s">
        <v>199</v>
      </c>
      <c r="B23" s="20" t="s">
        <v>187</v>
      </c>
      <c r="C23" s="20" t="s">
        <v>200</v>
      </c>
      <c r="D23" s="19" t="s">
        <v>18</v>
      </c>
      <c r="E23" s="19" t="s">
        <v>24</v>
      </c>
      <c r="F23" s="19" t="s">
        <v>26</v>
      </c>
      <c r="G23" s="21" t="s">
        <v>48</v>
      </c>
      <c r="H23" s="20" t="s">
        <v>201</v>
      </c>
      <c r="I23" s="20" t="s">
        <v>202</v>
      </c>
      <c r="J23" s="20" t="s">
        <v>203</v>
      </c>
      <c r="K23" s="19" t="s">
        <v>43</v>
      </c>
      <c r="L23" s="22">
        <v>46284.0</v>
      </c>
      <c r="M23" s="20" t="s">
        <v>204</v>
      </c>
    </row>
    <row r="24" ht="45.75" customHeight="1">
      <c r="A24" s="13" t="s">
        <v>205</v>
      </c>
      <c r="B24" s="15" t="s">
        <v>206</v>
      </c>
      <c r="C24" s="15" t="s">
        <v>207</v>
      </c>
      <c r="D24" s="13" t="s">
        <v>18</v>
      </c>
      <c r="E24" s="13" t="s">
        <v>24</v>
      </c>
      <c r="F24" s="13" t="s">
        <v>26</v>
      </c>
      <c r="G24" s="17" t="s">
        <v>48</v>
      </c>
      <c r="H24" s="15" t="s">
        <v>208</v>
      </c>
      <c r="I24" s="15" t="s">
        <v>209</v>
      </c>
      <c r="J24" s="15" t="s">
        <v>210</v>
      </c>
      <c r="K24" s="13" t="s">
        <v>43</v>
      </c>
      <c r="L24" s="18">
        <v>46284.0</v>
      </c>
      <c r="M24" s="15" t="s">
        <v>211</v>
      </c>
    </row>
    <row r="25" ht="45.75" customHeight="1">
      <c r="A25" s="19" t="s">
        <v>212</v>
      </c>
      <c r="B25" s="20" t="s">
        <v>206</v>
      </c>
      <c r="C25" s="20" t="s">
        <v>213</v>
      </c>
      <c r="D25" s="19" t="s">
        <v>32</v>
      </c>
      <c r="E25" s="19" t="s">
        <v>24</v>
      </c>
      <c r="F25" s="19" t="s">
        <v>26</v>
      </c>
      <c r="G25" s="21" t="s">
        <v>48</v>
      </c>
      <c r="H25" s="20" t="s">
        <v>214</v>
      </c>
      <c r="I25" s="20" t="s">
        <v>215</v>
      </c>
      <c r="J25" s="20" t="s">
        <v>216</v>
      </c>
      <c r="K25" s="19" t="s">
        <v>43</v>
      </c>
      <c r="L25" s="22">
        <v>46284.0</v>
      </c>
      <c r="M25" s="20" t="s">
        <v>217</v>
      </c>
    </row>
    <row r="26" ht="45.75" customHeight="1">
      <c r="A26" s="13" t="s">
        <v>218</v>
      </c>
      <c r="B26" s="15" t="s">
        <v>219</v>
      </c>
      <c r="C26" s="15" t="s">
        <v>220</v>
      </c>
      <c r="D26" s="13" t="s">
        <v>18</v>
      </c>
      <c r="E26" s="13" t="s">
        <v>36</v>
      </c>
      <c r="F26" s="13" t="s">
        <v>26</v>
      </c>
      <c r="G26" s="23" t="s">
        <v>56</v>
      </c>
      <c r="H26" s="15" t="s">
        <v>221</v>
      </c>
      <c r="I26" s="15" t="s">
        <v>222</v>
      </c>
      <c r="J26" s="15" t="s">
        <v>223</v>
      </c>
      <c r="K26" s="24" t="s">
        <v>43</v>
      </c>
      <c r="L26" s="30">
        <v>46296.0</v>
      </c>
      <c r="M26" s="26" t="s">
        <v>224</v>
      </c>
    </row>
    <row r="27" ht="45.75" customHeight="1">
      <c r="A27" s="19" t="s">
        <v>225</v>
      </c>
      <c r="B27" s="20" t="s">
        <v>219</v>
      </c>
      <c r="C27" s="20" t="s">
        <v>226</v>
      </c>
      <c r="D27" s="19" t="s">
        <v>32</v>
      </c>
      <c r="E27" s="19" t="s">
        <v>36</v>
      </c>
      <c r="F27" s="19" t="s">
        <v>26</v>
      </c>
      <c r="G27" s="31" t="s">
        <v>56</v>
      </c>
      <c r="H27" s="20" t="s">
        <v>227</v>
      </c>
      <c r="I27" s="20" t="s">
        <v>228</v>
      </c>
      <c r="J27" s="20" t="s">
        <v>229</v>
      </c>
      <c r="K27" s="27" t="s">
        <v>43</v>
      </c>
      <c r="L27" s="32">
        <v>46296.0</v>
      </c>
      <c r="M27" s="28" t="s">
        <v>230</v>
      </c>
    </row>
    <row r="28" ht="45.75" customHeight="1">
      <c r="A28" s="13" t="s">
        <v>231</v>
      </c>
      <c r="B28" s="15" t="s">
        <v>219</v>
      </c>
      <c r="C28" s="15" t="s">
        <v>232</v>
      </c>
      <c r="D28" s="13" t="s">
        <v>58</v>
      </c>
      <c r="E28" s="13" t="s">
        <v>36</v>
      </c>
      <c r="F28" s="13" t="s">
        <v>26</v>
      </c>
      <c r="G28" s="23" t="s">
        <v>56</v>
      </c>
      <c r="H28" s="15" t="s">
        <v>233</v>
      </c>
      <c r="I28" s="15" t="s">
        <v>234</v>
      </c>
      <c r="J28" s="15" t="s">
        <v>235</v>
      </c>
      <c r="K28" s="24" t="s">
        <v>43</v>
      </c>
      <c r="L28" s="30">
        <v>46296.0</v>
      </c>
      <c r="M28" s="26" t="s">
        <v>236</v>
      </c>
    </row>
    <row r="29" ht="45.75" customHeight="1">
      <c r="A29" s="24" t="s">
        <v>237</v>
      </c>
      <c r="B29" s="15" t="s">
        <v>219</v>
      </c>
      <c r="C29" s="26" t="s">
        <v>238</v>
      </c>
      <c r="D29" s="24" t="s">
        <v>32</v>
      </c>
      <c r="E29" s="24" t="s">
        <v>36</v>
      </c>
      <c r="F29" s="24" t="s">
        <v>26</v>
      </c>
      <c r="G29" s="23" t="s">
        <v>56</v>
      </c>
      <c r="H29" s="26" t="s">
        <v>239</v>
      </c>
      <c r="I29" s="26" t="s">
        <v>240</v>
      </c>
      <c r="J29" s="26" t="s">
        <v>241</v>
      </c>
      <c r="K29" s="24" t="s">
        <v>43</v>
      </c>
      <c r="L29" s="30">
        <v>46296.0</v>
      </c>
      <c r="M29" s="26" t="s">
        <v>242</v>
      </c>
    </row>
    <row r="30" ht="112.5" customHeight="1">
      <c r="A30" s="19" t="s">
        <v>243</v>
      </c>
      <c r="B30" s="20" t="s">
        <v>244</v>
      </c>
      <c r="C30" s="20" t="s">
        <v>245</v>
      </c>
      <c r="D30" s="19" t="s">
        <v>18</v>
      </c>
      <c r="E30" s="19" t="s">
        <v>24</v>
      </c>
      <c r="F30" s="19" t="s">
        <v>26</v>
      </c>
      <c r="G30" s="21" t="s">
        <v>63</v>
      </c>
      <c r="H30" s="20" t="s">
        <v>246</v>
      </c>
      <c r="I30" s="20" t="s">
        <v>247</v>
      </c>
      <c r="J30" s="20" t="s">
        <v>248</v>
      </c>
      <c r="K30" s="27" t="s">
        <v>43</v>
      </c>
      <c r="L30" s="30">
        <v>46296.0</v>
      </c>
      <c r="M30" s="20"/>
    </row>
    <row r="31" ht="90.75" customHeight="1">
      <c r="A31" s="13" t="s">
        <v>249</v>
      </c>
      <c r="B31" s="15" t="s">
        <v>244</v>
      </c>
      <c r="C31" s="15" t="s">
        <v>250</v>
      </c>
      <c r="D31" s="13" t="s">
        <v>32</v>
      </c>
      <c r="E31" s="13" t="s">
        <v>24</v>
      </c>
      <c r="F31" s="13" t="s">
        <v>26</v>
      </c>
      <c r="G31" s="17" t="s">
        <v>63</v>
      </c>
      <c r="H31" s="15" t="s">
        <v>251</v>
      </c>
      <c r="I31" s="15" t="s">
        <v>252</v>
      </c>
      <c r="J31" s="15" t="s">
        <v>253</v>
      </c>
      <c r="K31" s="24" t="s">
        <v>43</v>
      </c>
      <c r="L31" s="30">
        <v>46296.0</v>
      </c>
      <c r="M31" s="15"/>
    </row>
    <row r="32" ht="45.75" customHeight="1">
      <c r="A32" s="19" t="s">
        <v>254</v>
      </c>
      <c r="B32" s="20" t="s">
        <v>255</v>
      </c>
      <c r="C32" s="20" t="s">
        <v>256</v>
      </c>
      <c r="D32" s="19" t="s">
        <v>18</v>
      </c>
      <c r="E32" s="19" t="s">
        <v>36</v>
      </c>
      <c r="F32" s="19" t="s">
        <v>26</v>
      </c>
      <c r="G32" s="21" t="s">
        <v>63</v>
      </c>
      <c r="H32" s="20" t="s">
        <v>257</v>
      </c>
      <c r="I32" s="20" t="s">
        <v>258</v>
      </c>
      <c r="J32" s="20" t="s">
        <v>259</v>
      </c>
      <c r="K32" s="27" t="s">
        <v>43</v>
      </c>
      <c r="L32" s="30">
        <v>46296.0</v>
      </c>
      <c r="M32" s="28" t="s">
        <v>260</v>
      </c>
    </row>
    <row r="33" ht="45.75" customHeight="1">
      <c r="A33" s="24" t="s">
        <v>261</v>
      </c>
      <c r="B33" s="15" t="s">
        <v>255</v>
      </c>
      <c r="C33" s="15" t="s">
        <v>262</v>
      </c>
      <c r="D33" s="13" t="s">
        <v>51</v>
      </c>
      <c r="E33" s="13" t="s">
        <v>36</v>
      </c>
      <c r="F33" s="13" t="s">
        <v>26</v>
      </c>
      <c r="G33" s="17" t="s">
        <v>63</v>
      </c>
      <c r="H33" s="15" t="s">
        <v>263</v>
      </c>
      <c r="I33" s="15" t="s">
        <v>264</v>
      </c>
      <c r="J33" s="15" t="s">
        <v>265</v>
      </c>
      <c r="K33" s="24" t="s">
        <v>43</v>
      </c>
      <c r="L33" s="30">
        <v>46296.0</v>
      </c>
      <c r="M33" s="26" t="s">
        <v>266</v>
      </c>
    </row>
    <row r="34" ht="45.75" customHeight="1">
      <c r="A34" s="27" t="s">
        <v>267</v>
      </c>
      <c r="B34" s="20" t="s">
        <v>255</v>
      </c>
      <c r="C34" s="20" t="s">
        <v>268</v>
      </c>
      <c r="D34" s="19" t="s">
        <v>66</v>
      </c>
      <c r="E34" s="19" t="s">
        <v>36</v>
      </c>
      <c r="F34" s="19" t="s">
        <v>26</v>
      </c>
      <c r="G34" s="21" t="s">
        <v>63</v>
      </c>
      <c r="H34" s="20" t="s">
        <v>269</v>
      </c>
      <c r="I34" s="20" t="s">
        <v>270</v>
      </c>
      <c r="J34" s="20" t="s">
        <v>271</v>
      </c>
      <c r="K34" s="27" t="s">
        <v>43</v>
      </c>
      <c r="L34" s="30">
        <v>46296.0</v>
      </c>
      <c r="M34" s="28" t="s">
        <v>272</v>
      </c>
    </row>
    <row r="35" ht="132.75" customHeight="1">
      <c r="A35" s="24" t="s">
        <v>273</v>
      </c>
      <c r="B35" s="26" t="s">
        <v>114</v>
      </c>
      <c r="C35" s="26" t="s">
        <v>274</v>
      </c>
      <c r="D35" s="24" t="s">
        <v>51</v>
      </c>
      <c r="E35" s="24" t="s">
        <v>24</v>
      </c>
      <c r="F35" s="24" t="s">
        <v>26</v>
      </c>
      <c r="G35" s="23" t="s">
        <v>38</v>
      </c>
      <c r="H35" s="26" t="s">
        <v>275</v>
      </c>
      <c r="I35" s="26" t="s">
        <v>276</v>
      </c>
      <c r="J35" s="26" t="s">
        <v>277</v>
      </c>
      <c r="K35" s="24" t="s">
        <v>43</v>
      </c>
      <c r="L35" s="30">
        <v>46295.0</v>
      </c>
      <c r="M35" s="26"/>
    </row>
    <row r="36">
      <c r="A36" s="33" t="s">
        <v>278</v>
      </c>
      <c r="B36" s="28" t="s">
        <v>279</v>
      </c>
      <c r="C36" s="34" t="s">
        <v>280</v>
      </c>
      <c r="D36" s="27" t="s">
        <v>41</v>
      </c>
      <c r="E36" s="27" t="s">
        <v>24</v>
      </c>
      <c r="F36" s="27" t="s">
        <v>26</v>
      </c>
      <c r="G36" s="31" t="s">
        <v>56</v>
      </c>
      <c r="H36" s="28" t="s">
        <v>281</v>
      </c>
      <c r="I36" s="28" t="s">
        <v>282</v>
      </c>
      <c r="J36" s="28" t="s">
        <v>283</v>
      </c>
      <c r="K36" s="27" t="s">
        <v>43</v>
      </c>
      <c r="L36" s="32">
        <v>46296.0</v>
      </c>
      <c r="M36" s="28" t="s">
        <v>284</v>
      </c>
    </row>
    <row r="37">
      <c r="A37" s="35" t="s">
        <v>285</v>
      </c>
      <c r="B37" s="26" t="s">
        <v>279</v>
      </c>
      <c r="C37" s="36" t="s">
        <v>286</v>
      </c>
      <c r="D37" s="24" t="s">
        <v>41</v>
      </c>
      <c r="E37" s="24" t="s">
        <v>24</v>
      </c>
      <c r="F37" s="24" t="s">
        <v>26</v>
      </c>
      <c r="G37" s="23" t="s">
        <v>56</v>
      </c>
      <c r="H37" s="26" t="s">
        <v>287</v>
      </c>
      <c r="I37" s="26" t="s">
        <v>288</v>
      </c>
      <c r="J37" s="26" t="s">
        <v>289</v>
      </c>
      <c r="K37" s="24" t="s">
        <v>43</v>
      </c>
      <c r="L37" s="30">
        <v>46296.0</v>
      </c>
      <c r="M37" s="26" t="s">
        <v>290</v>
      </c>
    </row>
    <row r="38">
      <c r="A38" s="33" t="s">
        <v>291</v>
      </c>
      <c r="B38" s="28" t="s">
        <v>279</v>
      </c>
      <c r="C38" s="34" t="s">
        <v>292</v>
      </c>
      <c r="D38" s="27" t="s">
        <v>41</v>
      </c>
      <c r="E38" s="27" t="s">
        <v>24</v>
      </c>
      <c r="F38" s="27" t="s">
        <v>26</v>
      </c>
      <c r="G38" s="31" t="s">
        <v>56</v>
      </c>
      <c r="H38" s="28" t="s">
        <v>293</v>
      </c>
      <c r="I38" s="28" t="s">
        <v>294</v>
      </c>
      <c r="J38" s="28" t="s">
        <v>295</v>
      </c>
      <c r="K38" s="27" t="s">
        <v>43</v>
      </c>
      <c r="L38" s="32">
        <v>46296.0</v>
      </c>
      <c r="M38" s="28" t="s">
        <v>296</v>
      </c>
    </row>
    <row r="39">
      <c r="A39" s="35" t="s">
        <v>297</v>
      </c>
      <c r="B39" s="26" t="s">
        <v>279</v>
      </c>
      <c r="C39" s="36" t="s">
        <v>298</v>
      </c>
      <c r="D39" s="24" t="s">
        <v>41</v>
      </c>
      <c r="E39" s="24" t="s">
        <v>24</v>
      </c>
      <c r="F39" s="24" t="s">
        <v>26</v>
      </c>
      <c r="G39" s="23" t="s">
        <v>56</v>
      </c>
      <c r="H39" s="26" t="s">
        <v>299</v>
      </c>
      <c r="I39" s="26" t="s">
        <v>300</v>
      </c>
      <c r="J39" s="26" t="s">
        <v>301</v>
      </c>
      <c r="K39" s="24" t="s">
        <v>43</v>
      </c>
      <c r="L39" s="30">
        <v>46296.0</v>
      </c>
      <c r="M39" s="26" t="s">
        <v>302</v>
      </c>
    </row>
    <row r="40">
      <c r="A40" s="33" t="s">
        <v>303</v>
      </c>
      <c r="B40" s="28" t="s">
        <v>279</v>
      </c>
      <c r="C40" s="29" t="s">
        <v>304</v>
      </c>
      <c r="D40" s="27" t="s">
        <v>66</v>
      </c>
      <c r="E40" s="27" t="s">
        <v>36</v>
      </c>
      <c r="F40" s="27" t="s">
        <v>26</v>
      </c>
      <c r="G40" s="31" t="s">
        <v>56</v>
      </c>
      <c r="H40" s="28" t="s">
        <v>305</v>
      </c>
      <c r="I40" s="28" t="s">
        <v>306</v>
      </c>
      <c r="J40" s="28" t="s">
        <v>307</v>
      </c>
      <c r="K40" s="27" t="s">
        <v>43</v>
      </c>
      <c r="L40" s="32">
        <v>46296.0</v>
      </c>
      <c r="M40" s="28" t="s">
        <v>308</v>
      </c>
    </row>
    <row r="41" ht="76.5" customHeight="1">
      <c r="A41" s="27" t="s">
        <v>309</v>
      </c>
      <c r="B41" s="28" t="s">
        <v>94</v>
      </c>
      <c r="C41" s="28" t="s">
        <v>310</v>
      </c>
      <c r="D41" s="27" t="s">
        <v>58</v>
      </c>
      <c r="E41" s="27" t="s">
        <v>24</v>
      </c>
      <c r="F41" s="27" t="s">
        <v>26</v>
      </c>
      <c r="G41" s="31" t="s">
        <v>63</v>
      </c>
      <c r="H41" s="28" t="s">
        <v>311</v>
      </c>
      <c r="I41" s="28" t="s">
        <v>312</v>
      </c>
      <c r="J41" s="28" t="s">
        <v>313</v>
      </c>
      <c r="K41" s="27" t="s">
        <v>43</v>
      </c>
      <c r="L41" s="32">
        <v>46296.0</v>
      </c>
      <c r="M41" s="28" t="s">
        <v>314</v>
      </c>
    </row>
    <row r="42" ht="64.5" customHeight="1">
      <c r="A42" s="27" t="s">
        <v>315</v>
      </c>
      <c r="B42" s="28" t="s">
        <v>94</v>
      </c>
      <c r="C42" s="28" t="s">
        <v>316</v>
      </c>
      <c r="D42" s="27" t="s">
        <v>58</v>
      </c>
      <c r="E42" s="27" t="s">
        <v>24</v>
      </c>
      <c r="F42" s="27" t="s">
        <v>26</v>
      </c>
      <c r="G42" s="31" t="s">
        <v>63</v>
      </c>
      <c r="H42" s="28" t="s">
        <v>317</v>
      </c>
      <c r="I42" s="28" t="s">
        <v>318</v>
      </c>
      <c r="J42" s="28" t="s">
        <v>319</v>
      </c>
      <c r="K42" s="27" t="s">
        <v>43</v>
      </c>
      <c r="L42" s="25">
        <v>46300.0</v>
      </c>
      <c r="M42" s="28" t="s">
        <v>320</v>
      </c>
    </row>
    <row r="43" ht="59.25" customHeight="1">
      <c r="A43" s="27" t="s">
        <v>321</v>
      </c>
      <c r="B43" s="28" t="s">
        <v>114</v>
      </c>
      <c r="C43" s="28" t="s">
        <v>322</v>
      </c>
      <c r="D43" s="27" t="s">
        <v>51</v>
      </c>
      <c r="E43" s="27" t="s">
        <v>24</v>
      </c>
      <c r="F43" s="27" t="s">
        <v>26</v>
      </c>
      <c r="G43" s="31" t="s">
        <v>63</v>
      </c>
      <c r="H43" s="28" t="s">
        <v>323</v>
      </c>
      <c r="I43" s="28" t="s">
        <v>324</v>
      </c>
      <c r="J43" s="28" t="s">
        <v>325</v>
      </c>
      <c r="K43" s="27" t="s">
        <v>43</v>
      </c>
      <c r="L43" s="25">
        <v>46300.0</v>
      </c>
      <c r="M43" s="28" t="s">
        <v>326</v>
      </c>
    </row>
    <row r="44" ht="60.0" customHeight="1">
      <c r="A44" s="27" t="s">
        <v>327</v>
      </c>
      <c r="B44" s="28" t="s">
        <v>163</v>
      </c>
      <c r="C44" s="28" t="s">
        <v>328</v>
      </c>
      <c r="D44" s="27" t="s">
        <v>18</v>
      </c>
      <c r="E44" s="27" t="s">
        <v>24</v>
      </c>
      <c r="F44" s="27" t="s">
        <v>26</v>
      </c>
      <c r="G44" s="31" t="s">
        <v>63</v>
      </c>
      <c r="H44" s="28" t="s">
        <v>329</v>
      </c>
      <c r="I44" s="28" t="s">
        <v>330</v>
      </c>
      <c r="J44" s="28" t="s">
        <v>331</v>
      </c>
      <c r="K44" s="27" t="s">
        <v>43</v>
      </c>
      <c r="L44" s="25">
        <v>46300.0</v>
      </c>
      <c r="M44" s="28" t="s">
        <v>332</v>
      </c>
    </row>
    <row r="45" ht="64.5" customHeight="1">
      <c r="A45" s="27" t="s">
        <v>333</v>
      </c>
      <c r="B45" s="28" t="s">
        <v>163</v>
      </c>
      <c r="C45" s="28" t="s">
        <v>334</v>
      </c>
      <c r="D45" s="27" t="s">
        <v>66</v>
      </c>
      <c r="E45" s="27" t="s">
        <v>24</v>
      </c>
      <c r="F45" s="27" t="s">
        <v>26</v>
      </c>
      <c r="G45" s="31" t="s">
        <v>63</v>
      </c>
      <c r="H45" s="28" t="s">
        <v>335</v>
      </c>
      <c r="I45" s="28" t="s">
        <v>336</v>
      </c>
      <c r="J45" s="28" t="s">
        <v>337</v>
      </c>
      <c r="K45" s="27" t="s">
        <v>43</v>
      </c>
      <c r="L45" s="25">
        <v>46300.0</v>
      </c>
      <c r="M45" s="28" t="s">
        <v>338</v>
      </c>
    </row>
    <row r="46" ht="56.25" customHeight="1">
      <c r="A46" s="27" t="s">
        <v>339</v>
      </c>
      <c r="B46" s="28" t="s">
        <v>187</v>
      </c>
      <c r="C46" s="28" t="s">
        <v>340</v>
      </c>
      <c r="D46" s="27" t="s">
        <v>18</v>
      </c>
      <c r="E46" s="27" t="s">
        <v>24</v>
      </c>
      <c r="F46" s="27" t="s">
        <v>26</v>
      </c>
      <c r="G46" s="31" t="s">
        <v>63</v>
      </c>
      <c r="H46" s="28" t="s">
        <v>341</v>
      </c>
      <c r="I46" s="28" t="s">
        <v>342</v>
      </c>
      <c r="J46" s="28" t="s">
        <v>343</v>
      </c>
      <c r="K46" s="27" t="s">
        <v>43</v>
      </c>
      <c r="L46" s="25">
        <v>46300.0</v>
      </c>
      <c r="M46" s="28" t="s">
        <v>344</v>
      </c>
    </row>
    <row r="47" ht="67.5" customHeight="1">
      <c r="A47" s="27" t="s">
        <v>345</v>
      </c>
      <c r="B47" s="28" t="s">
        <v>187</v>
      </c>
      <c r="C47" s="28" t="s">
        <v>346</v>
      </c>
      <c r="D47" s="27" t="s">
        <v>32</v>
      </c>
      <c r="E47" s="27" t="s">
        <v>24</v>
      </c>
      <c r="F47" s="27" t="s">
        <v>26</v>
      </c>
      <c r="G47" s="31" t="s">
        <v>63</v>
      </c>
      <c r="H47" s="28" t="s">
        <v>347</v>
      </c>
      <c r="I47" s="28" t="s">
        <v>348</v>
      </c>
      <c r="J47" s="28" t="s">
        <v>349</v>
      </c>
      <c r="K47" s="27" t="s">
        <v>43</v>
      </c>
      <c r="L47" s="25">
        <v>46300.0</v>
      </c>
      <c r="M47" s="28" t="s">
        <v>350</v>
      </c>
    </row>
    <row r="48" ht="63.75" customHeight="1">
      <c r="A48" s="27" t="s">
        <v>351</v>
      </c>
      <c r="B48" s="28" t="s">
        <v>187</v>
      </c>
      <c r="C48" s="28" t="s">
        <v>352</v>
      </c>
      <c r="D48" s="27" t="s">
        <v>66</v>
      </c>
      <c r="E48" s="27" t="s">
        <v>24</v>
      </c>
      <c r="F48" s="27" t="s">
        <v>26</v>
      </c>
      <c r="G48" s="31" t="s">
        <v>63</v>
      </c>
      <c r="H48" s="28" t="s">
        <v>353</v>
      </c>
      <c r="I48" s="28" t="s">
        <v>354</v>
      </c>
      <c r="J48" s="28" t="s">
        <v>355</v>
      </c>
      <c r="K48" s="27" t="s">
        <v>43</v>
      </c>
      <c r="L48" s="25">
        <v>46300.0</v>
      </c>
      <c r="M48" s="28" t="s">
        <v>356</v>
      </c>
    </row>
    <row r="49" ht="69.0" customHeight="1">
      <c r="A49" s="27" t="s">
        <v>357</v>
      </c>
      <c r="B49" s="28" t="s">
        <v>206</v>
      </c>
      <c r="C49" s="28" t="s">
        <v>358</v>
      </c>
      <c r="D49" s="27" t="s">
        <v>18</v>
      </c>
      <c r="E49" s="27" t="s">
        <v>24</v>
      </c>
      <c r="F49" s="27" t="s">
        <v>26</v>
      </c>
      <c r="G49" s="31" t="s">
        <v>63</v>
      </c>
      <c r="H49" s="28" t="s">
        <v>359</v>
      </c>
      <c r="I49" s="28" t="s">
        <v>360</v>
      </c>
      <c r="J49" s="28" t="s">
        <v>361</v>
      </c>
      <c r="K49" s="27" t="s">
        <v>43</v>
      </c>
      <c r="L49" s="25">
        <v>46300.0</v>
      </c>
      <c r="M49" s="28" t="s">
        <v>362</v>
      </c>
    </row>
    <row r="50" ht="55.5" customHeight="1">
      <c r="A50" s="27" t="s">
        <v>363</v>
      </c>
      <c r="B50" s="28" t="s">
        <v>206</v>
      </c>
      <c r="C50" s="28" t="s">
        <v>364</v>
      </c>
      <c r="D50" s="27" t="s">
        <v>58</v>
      </c>
      <c r="E50" s="27" t="s">
        <v>24</v>
      </c>
      <c r="F50" s="27" t="s">
        <v>26</v>
      </c>
      <c r="G50" s="31" t="s">
        <v>63</v>
      </c>
      <c r="H50" s="28" t="s">
        <v>365</v>
      </c>
      <c r="I50" s="28" t="s">
        <v>366</v>
      </c>
      <c r="J50" s="28" t="s">
        <v>367</v>
      </c>
      <c r="K50" s="27" t="s">
        <v>43</v>
      </c>
      <c r="L50" s="25">
        <v>46300.0</v>
      </c>
      <c r="M50" s="28" t="s">
        <v>368</v>
      </c>
    </row>
    <row r="51" ht="52.5" customHeight="1">
      <c r="A51" s="27" t="s">
        <v>369</v>
      </c>
      <c r="B51" s="28" t="s">
        <v>244</v>
      </c>
      <c r="C51" s="28" t="s">
        <v>370</v>
      </c>
      <c r="D51" s="27" t="s">
        <v>18</v>
      </c>
      <c r="E51" s="27" t="s">
        <v>24</v>
      </c>
      <c r="F51" s="27" t="s">
        <v>26</v>
      </c>
      <c r="G51" s="31" t="s">
        <v>63</v>
      </c>
      <c r="H51" s="28" t="s">
        <v>371</v>
      </c>
      <c r="I51" s="28" t="s">
        <v>372</v>
      </c>
      <c r="J51" s="28" t="s">
        <v>373</v>
      </c>
      <c r="K51" s="27" t="s">
        <v>43</v>
      </c>
      <c r="L51" s="25">
        <v>46300.0</v>
      </c>
      <c r="M51" s="28" t="s">
        <v>374</v>
      </c>
    </row>
    <row r="52" ht="52.5" customHeight="1">
      <c r="A52" s="27" t="s">
        <v>375</v>
      </c>
      <c r="B52" s="28" t="s">
        <v>244</v>
      </c>
      <c r="C52" s="28" t="s">
        <v>376</v>
      </c>
      <c r="D52" s="27" t="s">
        <v>58</v>
      </c>
      <c r="E52" s="27" t="s">
        <v>24</v>
      </c>
      <c r="F52" s="27" t="s">
        <v>26</v>
      </c>
      <c r="G52" s="31" t="s">
        <v>63</v>
      </c>
      <c r="H52" s="28" t="s">
        <v>377</v>
      </c>
      <c r="I52" s="28" t="s">
        <v>378</v>
      </c>
      <c r="J52" s="28" t="s">
        <v>379</v>
      </c>
      <c r="K52" s="27" t="s">
        <v>43</v>
      </c>
      <c r="L52" s="25">
        <v>46300.0</v>
      </c>
      <c r="M52" s="28" t="s">
        <v>380</v>
      </c>
    </row>
    <row r="53" ht="47.25" customHeight="1">
      <c r="A53" s="27" t="s">
        <v>381</v>
      </c>
      <c r="B53" s="28" t="s">
        <v>244</v>
      </c>
      <c r="C53" s="28" t="s">
        <v>382</v>
      </c>
      <c r="D53" s="27" t="s">
        <v>66</v>
      </c>
      <c r="E53" s="27" t="s">
        <v>24</v>
      </c>
      <c r="F53" s="27" t="s">
        <v>26</v>
      </c>
      <c r="G53" s="31" t="s">
        <v>63</v>
      </c>
      <c r="H53" s="28" t="s">
        <v>383</v>
      </c>
      <c r="I53" s="28" t="s">
        <v>384</v>
      </c>
      <c r="J53" s="28" t="s">
        <v>385</v>
      </c>
      <c r="K53" s="27" t="s">
        <v>43</v>
      </c>
      <c r="L53" s="25">
        <v>46300.0</v>
      </c>
      <c r="M53" s="28" t="s">
        <v>386</v>
      </c>
    </row>
    <row r="54" ht="86.25" customHeight="1">
      <c r="A54" s="27" t="s">
        <v>387</v>
      </c>
      <c r="B54" s="28" t="s">
        <v>255</v>
      </c>
      <c r="C54" s="28" t="s">
        <v>388</v>
      </c>
      <c r="D54" s="27" t="s">
        <v>41</v>
      </c>
      <c r="E54" s="27" t="s">
        <v>36</v>
      </c>
      <c r="F54" s="27" t="s">
        <v>26</v>
      </c>
      <c r="G54" s="31" t="s">
        <v>63</v>
      </c>
      <c r="H54" s="28" t="s">
        <v>389</v>
      </c>
      <c r="I54" s="28" t="s">
        <v>390</v>
      </c>
      <c r="J54" s="28" t="s">
        <v>391</v>
      </c>
      <c r="K54" s="27" t="s">
        <v>43</v>
      </c>
      <c r="L54" s="25">
        <v>46300.0</v>
      </c>
      <c r="M54" s="28"/>
    </row>
    <row r="55" ht="49.5" customHeight="1">
      <c r="A55" s="27" t="s">
        <v>392</v>
      </c>
      <c r="B55" s="28" t="s">
        <v>393</v>
      </c>
      <c r="C55" s="28" t="s">
        <v>394</v>
      </c>
      <c r="D55" s="27" t="s">
        <v>51</v>
      </c>
      <c r="E55" s="27" t="s">
        <v>24</v>
      </c>
      <c r="F55" s="27" t="s">
        <v>26</v>
      </c>
      <c r="G55" s="31" t="s">
        <v>63</v>
      </c>
      <c r="H55" s="28" t="s">
        <v>395</v>
      </c>
      <c r="I55" s="28" t="s">
        <v>396</v>
      </c>
      <c r="J55" s="28" t="s">
        <v>397</v>
      </c>
      <c r="K55" s="27" t="s">
        <v>43</v>
      </c>
      <c r="L55" s="25">
        <v>46300.0</v>
      </c>
      <c r="M55" s="28" t="s">
        <v>398</v>
      </c>
    </row>
    <row r="56" ht="53.25" customHeight="1">
      <c r="A56" s="27" t="s">
        <v>399</v>
      </c>
      <c r="B56" s="28" t="s">
        <v>393</v>
      </c>
      <c r="C56" s="28" t="s">
        <v>400</v>
      </c>
      <c r="D56" s="27" t="s">
        <v>32</v>
      </c>
      <c r="E56" s="27" t="s">
        <v>24</v>
      </c>
      <c r="F56" s="27" t="s">
        <v>26</v>
      </c>
      <c r="G56" s="31" t="s">
        <v>63</v>
      </c>
      <c r="H56" s="28" t="s">
        <v>401</v>
      </c>
      <c r="I56" s="28" t="s">
        <v>402</v>
      </c>
      <c r="J56" s="28" t="s">
        <v>403</v>
      </c>
      <c r="K56" s="27" t="s">
        <v>43</v>
      </c>
      <c r="L56" s="25">
        <v>46300.0</v>
      </c>
      <c r="M56" s="28" t="s">
        <v>404</v>
      </c>
    </row>
    <row r="57" ht="58.5" customHeight="1">
      <c r="A57" s="27" t="s">
        <v>405</v>
      </c>
      <c r="B57" s="28" t="s">
        <v>393</v>
      </c>
      <c r="C57" s="28" t="s">
        <v>406</v>
      </c>
      <c r="D57" s="27" t="s">
        <v>32</v>
      </c>
      <c r="E57" s="27" t="s">
        <v>24</v>
      </c>
      <c r="F57" s="27" t="s">
        <v>26</v>
      </c>
      <c r="G57" s="31" t="s">
        <v>63</v>
      </c>
      <c r="H57" s="28" t="s">
        <v>407</v>
      </c>
      <c r="I57" s="28" t="s">
        <v>408</v>
      </c>
      <c r="J57" s="28" t="s">
        <v>409</v>
      </c>
      <c r="K57" s="27" t="s">
        <v>43</v>
      </c>
      <c r="L57" s="25">
        <v>46300.0</v>
      </c>
      <c r="M57" s="28" t="s">
        <v>410</v>
      </c>
    </row>
    <row r="58" ht="48.75" customHeight="1">
      <c r="A58" s="27" t="s">
        <v>411</v>
      </c>
      <c r="B58" s="28" t="s">
        <v>393</v>
      </c>
      <c r="C58" s="28" t="s">
        <v>412</v>
      </c>
      <c r="D58" s="27" t="s">
        <v>32</v>
      </c>
      <c r="E58" s="27" t="s">
        <v>24</v>
      </c>
      <c r="F58" s="27" t="s">
        <v>26</v>
      </c>
      <c r="G58" s="31" t="s">
        <v>63</v>
      </c>
      <c r="H58" s="28" t="s">
        <v>335</v>
      </c>
      <c r="I58" s="28" t="s">
        <v>413</v>
      </c>
      <c r="J58" s="28" t="s">
        <v>414</v>
      </c>
      <c r="K58" s="27" t="s">
        <v>43</v>
      </c>
      <c r="L58" s="25">
        <v>46300.0</v>
      </c>
      <c r="M58" s="28" t="s">
        <v>415</v>
      </c>
    </row>
    <row r="59" ht="54.75" customHeight="1">
      <c r="A59" s="27" t="s">
        <v>416</v>
      </c>
      <c r="B59" s="28" t="s">
        <v>393</v>
      </c>
      <c r="C59" s="28" t="s">
        <v>417</v>
      </c>
      <c r="D59" s="27" t="s">
        <v>51</v>
      </c>
      <c r="E59" s="27" t="s">
        <v>24</v>
      </c>
      <c r="F59" s="27" t="s">
        <v>26</v>
      </c>
      <c r="G59" s="31" t="s">
        <v>63</v>
      </c>
      <c r="H59" s="28" t="s">
        <v>418</v>
      </c>
      <c r="I59" s="28" t="s">
        <v>419</v>
      </c>
      <c r="J59" s="28" t="s">
        <v>420</v>
      </c>
      <c r="K59" s="27" t="s">
        <v>43</v>
      </c>
      <c r="L59" s="25">
        <v>46300.0</v>
      </c>
      <c r="M59" s="28" t="s">
        <v>421</v>
      </c>
    </row>
    <row r="60">
      <c r="A60" s="27" t="s">
        <v>422</v>
      </c>
      <c r="B60" s="28" t="s">
        <v>423</v>
      </c>
      <c r="C60" s="28" t="s">
        <v>424</v>
      </c>
      <c r="D60" s="27" t="s">
        <v>18</v>
      </c>
      <c r="E60" s="27" t="s">
        <v>24</v>
      </c>
      <c r="F60" s="27" t="s">
        <v>26</v>
      </c>
      <c r="G60" s="31" t="s">
        <v>63</v>
      </c>
      <c r="H60" s="28" t="s">
        <v>425</v>
      </c>
      <c r="I60" s="28" t="s">
        <v>426</v>
      </c>
      <c r="J60" s="28" t="s">
        <v>427</v>
      </c>
      <c r="K60" s="27" t="s">
        <v>43</v>
      </c>
      <c r="L60" s="25">
        <v>46300.0</v>
      </c>
      <c r="M60" s="28" t="s">
        <v>428</v>
      </c>
    </row>
    <row r="61" ht="54.75" customHeight="1">
      <c r="A61" s="27" t="s">
        <v>429</v>
      </c>
      <c r="B61" s="28" t="s">
        <v>423</v>
      </c>
      <c r="C61" s="28" t="s">
        <v>430</v>
      </c>
      <c r="D61" s="27" t="s">
        <v>41</v>
      </c>
      <c r="E61" s="27" t="s">
        <v>24</v>
      </c>
      <c r="F61" s="27" t="s">
        <v>26</v>
      </c>
      <c r="G61" s="31" t="s">
        <v>63</v>
      </c>
      <c r="H61" s="28" t="s">
        <v>431</v>
      </c>
      <c r="I61" s="28" t="s">
        <v>432</v>
      </c>
      <c r="J61" s="28" t="s">
        <v>433</v>
      </c>
      <c r="K61" s="27" t="s">
        <v>43</v>
      </c>
      <c r="L61" s="25">
        <v>46300.0</v>
      </c>
      <c r="M61" s="28" t="s">
        <v>434</v>
      </c>
    </row>
    <row r="62" ht="51.0" customHeight="1">
      <c r="A62" s="27" t="s">
        <v>435</v>
      </c>
      <c r="B62" s="28" t="s">
        <v>423</v>
      </c>
      <c r="C62" s="28" t="s">
        <v>436</v>
      </c>
      <c r="D62" s="27" t="s">
        <v>51</v>
      </c>
      <c r="E62" s="27" t="s">
        <v>24</v>
      </c>
      <c r="F62" s="27" t="s">
        <v>26</v>
      </c>
      <c r="G62" s="31" t="s">
        <v>63</v>
      </c>
      <c r="H62" s="28" t="s">
        <v>437</v>
      </c>
      <c r="I62" s="28" t="s">
        <v>438</v>
      </c>
      <c r="J62" s="28" t="s">
        <v>439</v>
      </c>
      <c r="K62" s="27" t="s">
        <v>43</v>
      </c>
      <c r="L62" s="25">
        <v>46300.0</v>
      </c>
      <c r="M62" s="28" t="s">
        <v>440</v>
      </c>
    </row>
    <row r="63" ht="44.25" customHeight="1">
      <c r="A63" s="27" t="s">
        <v>441</v>
      </c>
      <c r="B63" s="28" t="s">
        <v>423</v>
      </c>
      <c r="C63" s="28" t="s">
        <v>442</v>
      </c>
      <c r="D63" s="27" t="s">
        <v>41</v>
      </c>
      <c r="E63" s="27" t="s">
        <v>24</v>
      </c>
      <c r="F63" s="27" t="s">
        <v>26</v>
      </c>
      <c r="G63" s="31" t="s">
        <v>63</v>
      </c>
      <c r="H63" s="28" t="s">
        <v>443</v>
      </c>
      <c r="I63" s="28" t="s">
        <v>444</v>
      </c>
      <c r="J63" s="28" t="s">
        <v>445</v>
      </c>
      <c r="K63" s="27" t="s">
        <v>43</v>
      </c>
      <c r="L63" s="25">
        <v>46300.0</v>
      </c>
      <c r="M63" s="28" t="s">
        <v>446</v>
      </c>
    </row>
    <row r="64" ht="61.5" customHeight="1">
      <c r="A64" s="27" t="s">
        <v>447</v>
      </c>
      <c r="B64" s="28" t="s">
        <v>423</v>
      </c>
      <c r="C64" s="28" t="s">
        <v>448</v>
      </c>
      <c r="D64" s="27" t="s">
        <v>58</v>
      </c>
      <c r="E64" s="27" t="s">
        <v>24</v>
      </c>
      <c r="F64" s="27" t="s">
        <v>26</v>
      </c>
      <c r="G64" s="31" t="s">
        <v>63</v>
      </c>
      <c r="H64" s="28" t="s">
        <v>449</v>
      </c>
      <c r="I64" s="28" t="s">
        <v>450</v>
      </c>
      <c r="J64" s="28" t="s">
        <v>451</v>
      </c>
      <c r="K64" s="27" t="s">
        <v>43</v>
      </c>
      <c r="L64" s="25">
        <v>46300.0</v>
      </c>
      <c r="M64" s="28" t="s">
        <v>452</v>
      </c>
    </row>
    <row r="65" ht="15.75" customHeight="1">
      <c r="A65" s="19"/>
      <c r="B65" s="20"/>
      <c r="C65" s="20"/>
      <c r="D65" s="19"/>
      <c r="E65" s="19"/>
      <c r="F65" s="19"/>
      <c r="G65" s="21"/>
      <c r="H65" s="20"/>
      <c r="I65" s="20"/>
      <c r="J65" s="20"/>
      <c r="K65" s="19"/>
      <c r="L65" s="22"/>
      <c r="M65" s="20"/>
    </row>
    <row r="66" ht="15.75" customHeight="1">
      <c r="A66" s="19"/>
      <c r="B66" s="20"/>
      <c r="C66" s="20"/>
      <c r="D66" s="19"/>
      <c r="E66" s="19"/>
      <c r="F66" s="19"/>
      <c r="G66" s="21"/>
      <c r="H66" s="20"/>
      <c r="I66" s="20"/>
      <c r="J66" s="20"/>
      <c r="K66" s="19"/>
      <c r="L66" s="22"/>
      <c r="M66" s="20"/>
    </row>
    <row r="67" ht="15.75" customHeight="1">
      <c r="A67" s="19"/>
      <c r="B67" s="20"/>
      <c r="C67" s="20"/>
      <c r="D67" s="19"/>
      <c r="E67" s="19"/>
      <c r="F67" s="19"/>
      <c r="G67" s="21"/>
      <c r="H67" s="20"/>
      <c r="I67" s="20"/>
      <c r="J67" s="20"/>
      <c r="K67" s="19"/>
      <c r="L67" s="22"/>
      <c r="M67" s="20"/>
    </row>
    <row r="68" ht="15.75" customHeight="1">
      <c r="A68" s="19"/>
      <c r="B68" s="20"/>
      <c r="C68" s="20"/>
      <c r="D68" s="19"/>
      <c r="E68" s="19"/>
      <c r="F68" s="19"/>
      <c r="G68" s="21"/>
      <c r="H68" s="20"/>
      <c r="I68" s="20"/>
      <c r="J68" s="20"/>
      <c r="K68" s="19"/>
      <c r="L68" s="22"/>
      <c r="M68" s="20"/>
    </row>
    <row r="69" ht="15.75" customHeight="1">
      <c r="A69" s="19"/>
      <c r="B69" s="20"/>
      <c r="C69" s="20"/>
      <c r="D69" s="19"/>
      <c r="E69" s="19"/>
      <c r="F69" s="19"/>
      <c r="G69" s="21"/>
      <c r="H69" s="20"/>
      <c r="I69" s="20"/>
      <c r="J69" s="20"/>
      <c r="K69" s="19"/>
      <c r="L69" s="22"/>
      <c r="M69" s="20"/>
    </row>
    <row r="70" ht="15.75" customHeight="1">
      <c r="A70" s="19"/>
      <c r="B70" s="20"/>
      <c r="C70" s="20"/>
      <c r="D70" s="19"/>
      <c r="E70" s="19"/>
      <c r="F70" s="19"/>
      <c r="G70" s="21"/>
      <c r="H70" s="20"/>
      <c r="I70" s="20"/>
      <c r="J70" s="20"/>
      <c r="K70" s="19"/>
      <c r="L70" s="22"/>
      <c r="M70" s="20"/>
    </row>
    <row r="71" ht="15.75" customHeight="1">
      <c r="A71" s="19"/>
      <c r="B71" s="20"/>
      <c r="C71" s="20"/>
      <c r="D71" s="19"/>
      <c r="E71" s="19"/>
      <c r="F71" s="19"/>
      <c r="G71" s="21"/>
      <c r="H71" s="20"/>
      <c r="I71" s="20"/>
      <c r="J71" s="20"/>
      <c r="K71" s="19"/>
      <c r="L71" s="22"/>
      <c r="M71" s="20"/>
    </row>
    <row r="72" ht="15.75" customHeight="1">
      <c r="A72" s="19"/>
      <c r="B72" s="20"/>
      <c r="C72" s="20"/>
      <c r="D72" s="19"/>
      <c r="E72" s="19"/>
      <c r="F72" s="19"/>
      <c r="G72" s="21"/>
      <c r="H72" s="20"/>
      <c r="I72" s="20"/>
      <c r="J72" s="20"/>
      <c r="K72" s="19"/>
      <c r="L72" s="22"/>
      <c r="M72" s="20"/>
    </row>
    <row r="73" ht="15.75" customHeight="1">
      <c r="A73" s="19"/>
      <c r="B73" s="20"/>
      <c r="C73" s="20"/>
      <c r="D73" s="19"/>
      <c r="E73" s="19"/>
      <c r="F73" s="19"/>
      <c r="G73" s="21"/>
      <c r="H73" s="20"/>
      <c r="I73" s="20"/>
      <c r="J73" s="20"/>
      <c r="K73" s="19"/>
      <c r="L73" s="22"/>
      <c r="M73" s="20"/>
    </row>
    <row r="74" ht="15.75" customHeight="1">
      <c r="A74" s="19"/>
      <c r="B74" s="20"/>
      <c r="C74" s="20"/>
      <c r="D74" s="19"/>
      <c r="E74" s="19"/>
      <c r="F74" s="19"/>
      <c r="G74" s="21"/>
      <c r="H74" s="20"/>
      <c r="I74" s="20"/>
      <c r="J74" s="20"/>
      <c r="K74" s="19"/>
      <c r="L74" s="22"/>
      <c r="M74" s="20"/>
    </row>
    <row r="75" ht="15.75" customHeight="1">
      <c r="A75" s="19"/>
      <c r="B75" s="20"/>
      <c r="C75" s="20"/>
      <c r="D75" s="19"/>
      <c r="E75" s="19"/>
      <c r="F75" s="19"/>
      <c r="G75" s="21"/>
      <c r="H75" s="20"/>
      <c r="I75" s="20"/>
      <c r="J75" s="20"/>
      <c r="K75" s="19"/>
      <c r="L75" s="22"/>
      <c r="M75" s="20"/>
    </row>
    <row r="76" ht="15.75" customHeight="1">
      <c r="A76" s="19"/>
      <c r="B76" s="20"/>
      <c r="C76" s="20"/>
      <c r="D76" s="19"/>
      <c r="E76" s="19"/>
      <c r="F76" s="19"/>
      <c r="G76" s="21"/>
      <c r="H76" s="20"/>
      <c r="I76" s="20"/>
      <c r="J76" s="20"/>
      <c r="K76" s="19"/>
      <c r="L76" s="22"/>
      <c r="M76" s="20"/>
    </row>
    <row r="77" ht="15.75" customHeight="1">
      <c r="A77" s="19"/>
      <c r="B77" s="20"/>
      <c r="C77" s="20"/>
      <c r="D77" s="19"/>
      <c r="E77" s="19"/>
      <c r="F77" s="19"/>
      <c r="G77" s="21"/>
      <c r="H77" s="20"/>
      <c r="I77" s="20"/>
      <c r="J77" s="20"/>
      <c r="K77" s="19"/>
      <c r="L77" s="22"/>
      <c r="M77" s="20"/>
    </row>
    <row r="78" ht="15.75" customHeight="1">
      <c r="A78" s="19"/>
      <c r="B78" s="20"/>
      <c r="C78" s="20"/>
      <c r="D78" s="19"/>
      <c r="E78" s="19"/>
      <c r="F78" s="19"/>
      <c r="G78" s="21"/>
      <c r="H78" s="20"/>
      <c r="I78" s="20"/>
      <c r="J78" s="20"/>
      <c r="K78" s="19"/>
      <c r="L78" s="22"/>
      <c r="M78" s="20"/>
    </row>
    <row r="79" ht="15.75" customHeight="1">
      <c r="A79" s="19"/>
      <c r="B79" s="20"/>
      <c r="C79" s="20"/>
      <c r="D79" s="19"/>
      <c r="E79" s="19"/>
      <c r="F79" s="19"/>
      <c r="G79" s="21"/>
      <c r="H79" s="20"/>
      <c r="I79" s="20"/>
      <c r="J79" s="20"/>
      <c r="K79" s="19"/>
      <c r="L79" s="22"/>
      <c r="M79" s="20"/>
    </row>
    <row r="80" ht="15.75" customHeight="1">
      <c r="A80" s="19"/>
      <c r="B80" s="20"/>
      <c r="C80" s="20"/>
      <c r="D80" s="19"/>
      <c r="E80" s="19"/>
      <c r="F80" s="19"/>
      <c r="G80" s="21"/>
      <c r="H80" s="20"/>
      <c r="I80" s="20"/>
      <c r="J80" s="20"/>
      <c r="K80" s="19"/>
      <c r="L80" s="22"/>
      <c r="M80" s="20"/>
    </row>
    <row r="81" ht="15.75" customHeight="1">
      <c r="A81" s="19"/>
      <c r="B81" s="20"/>
      <c r="C81" s="20"/>
      <c r="D81" s="19"/>
      <c r="E81" s="19"/>
      <c r="F81" s="19"/>
      <c r="G81" s="21"/>
      <c r="H81" s="20"/>
      <c r="I81" s="20"/>
      <c r="J81" s="20"/>
      <c r="K81" s="19"/>
      <c r="L81" s="22"/>
      <c r="M81" s="20"/>
    </row>
    <row r="82" ht="15.75" customHeight="1">
      <c r="A82" s="19"/>
      <c r="B82" s="20"/>
      <c r="C82" s="20"/>
      <c r="D82" s="19"/>
      <c r="E82" s="19"/>
      <c r="F82" s="19"/>
      <c r="G82" s="21"/>
      <c r="H82" s="20"/>
      <c r="I82" s="20"/>
      <c r="J82" s="20"/>
      <c r="K82" s="19"/>
      <c r="L82" s="22"/>
      <c r="M82" s="20"/>
    </row>
    <row r="83" ht="15.75" customHeight="1">
      <c r="A83" s="19"/>
      <c r="B83" s="20"/>
      <c r="C83" s="20"/>
      <c r="D83" s="19"/>
      <c r="E83" s="19"/>
      <c r="F83" s="19"/>
      <c r="G83" s="21"/>
      <c r="H83" s="20"/>
      <c r="I83" s="20"/>
      <c r="J83" s="20"/>
      <c r="K83" s="19"/>
      <c r="L83" s="22"/>
      <c r="M83" s="20"/>
    </row>
    <row r="84" ht="15.75" customHeight="1">
      <c r="A84" s="19"/>
      <c r="B84" s="20"/>
      <c r="C84" s="20"/>
      <c r="D84" s="19"/>
      <c r="E84" s="19"/>
      <c r="F84" s="19"/>
      <c r="G84" s="21"/>
      <c r="H84" s="20"/>
      <c r="I84" s="20"/>
      <c r="J84" s="20"/>
      <c r="K84" s="19"/>
      <c r="L84" s="22"/>
      <c r="M84" s="20"/>
    </row>
    <row r="85" ht="15.75" customHeight="1">
      <c r="A85" s="19"/>
      <c r="B85" s="20"/>
      <c r="C85" s="20"/>
      <c r="D85" s="19"/>
      <c r="E85" s="19"/>
      <c r="F85" s="19"/>
      <c r="G85" s="21"/>
      <c r="H85" s="20"/>
      <c r="I85" s="20"/>
      <c r="J85" s="20"/>
      <c r="K85" s="19"/>
      <c r="L85" s="22"/>
      <c r="M85" s="20"/>
    </row>
    <row r="86" ht="15.75" customHeight="1">
      <c r="A86" s="19"/>
      <c r="B86" s="20"/>
      <c r="C86" s="20"/>
      <c r="D86" s="19"/>
      <c r="E86" s="19"/>
      <c r="F86" s="19"/>
      <c r="G86" s="21"/>
      <c r="H86" s="20"/>
      <c r="I86" s="20"/>
      <c r="J86" s="20"/>
      <c r="K86" s="19"/>
      <c r="L86" s="22"/>
      <c r="M86" s="20"/>
    </row>
    <row r="87" ht="15.75" customHeight="1">
      <c r="A87" s="19"/>
      <c r="B87" s="20"/>
      <c r="C87" s="20"/>
      <c r="D87" s="19"/>
      <c r="E87" s="19"/>
      <c r="F87" s="19"/>
      <c r="G87" s="21"/>
      <c r="H87" s="20"/>
      <c r="I87" s="20"/>
      <c r="J87" s="20"/>
      <c r="K87" s="19"/>
      <c r="L87" s="22"/>
      <c r="M87" s="20"/>
    </row>
    <row r="88" ht="15.75" customHeight="1">
      <c r="A88" s="19"/>
      <c r="B88" s="20"/>
      <c r="C88" s="20"/>
      <c r="D88" s="19"/>
      <c r="E88" s="19"/>
      <c r="F88" s="19"/>
      <c r="G88" s="21"/>
      <c r="H88" s="20"/>
      <c r="I88" s="20"/>
      <c r="J88" s="20"/>
      <c r="K88" s="19"/>
      <c r="L88" s="22"/>
      <c r="M88" s="20"/>
    </row>
    <row r="89" ht="15.75" customHeight="1">
      <c r="A89" s="19"/>
      <c r="B89" s="20"/>
      <c r="C89" s="20"/>
      <c r="D89" s="19"/>
      <c r="E89" s="19"/>
      <c r="F89" s="19"/>
      <c r="G89" s="21"/>
      <c r="H89" s="20"/>
      <c r="I89" s="20"/>
      <c r="J89" s="20"/>
      <c r="K89" s="19"/>
      <c r="L89" s="22"/>
      <c r="M89" s="20"/>
    </row>
    <row r="90" ht="15.75" customHeight="1">
      <c r="A90" s="19"/>
      <c r="B90" s="20"/>
      <c r="C90" s="20"/>
      <c r="D90" s="19"/>
      <c r="E90" s="19"/>
      <c r="F90" s="19"/>
      <c r="G90" s="21"/>
      <c r="H90" s="20"/>
      <c r="I90" s="20"/>
      <c r="J90" s="20"/>
      <c r="K90" s="19"/>
      <c r="L90" s="22"/>
      <c r="M90" s="20"/>
    </row>
    <row r="91" ht="15.75" customHeight="1">
      <c r="A91" s="19"/>
      <c r="B91" s="20"/>
      <c r="C91" s="20"/>
      <c r="D91" s="19"/>
      <c r="E91" s="19"/>
      <c r="F91" s="19"/>
      <c r="G91" s="21"/>
      <c r="H91" s="20"/>
      <c r="I91" s="20"/>
      <c r="J91" s="20"/>
      <c r="K91" s="19"/>
      <c r="L91" s="22"/>
      <c r="M91" s="20"/>
    </row>
    <row r="92" ht="15.75" customHeight="1">
      <c r="A92" s="19"/>
      <c r="B92" s="20"/>
      <c r="C92" s="20"/>
      <c r="D92" s="19"/>
      <c r="E92" s="19"/>
      <c r="F92" s="19"/>
      <c r="G92" s="21"/>
      <c r="H92" s="20"/>
      <c r="I92" s="20"/>
      <c r="J92" s="20"/>
      <c r="K92" s="19"/>
      <c r="L92" s="22"/>
      <c r="M92" s="20"/>
    </row>
    <row r="93" ht="15.75" customHeight="1">
      <c r="A93" s="19"/>
      <c r="B93" s="20"/>
      <c r="C93" s="20"/>
      <c r="D93" s="19"/>
      <c r="E93" s="19"/>
      <c r="F93" s="19"/>
      <c r="G93" s="21"/>
      <c r="H93" s="20"/>
      <c r="I93" s="20"/>
      <c r="J93" s="20"/>
      <c r="K93" s="19"/>
      <c r="L93" s="22"/>
      <c r="M93" s="20"/>
    </row>
    <row r="94" ht="15.75" customHeight="1">
      <c r="A94" s="19"/>
      <c r="B94" s="20"/>
      <c r="C94" s="20"/>
      <c r="D94" s="19"/>
      <c r="E94" s="19"/>
      <c r="F94" s="19"/>
      <c r="G94" s="21"/>
      <c r="H94" s="20"/>
      <c r="I94" s="20"/>
      <c r="J94" s="20"/>
      <c r="K94" s="19"/>
      <c r="L94" s="22"/>
      <c r="M94" s="20"/>
    </row>
    <row r="95" ht="15.75" customHeight="1">
      <c r="A95" s="19"/>
      <c r="B95" s="20"/>
      <c r="C95" s="20"/>
      <c r="D95" s="19"/>
      <c r="E95" s="19"/>
      <c r="F95" s="19"/>
      <c r="G95" s="21"/>
      <c r="H95" s="20"/>
      <c r="I95" s="20"/>
      <c r="J95" s="20"/>
      <c r="K95" s="19"/>
      <c r="L95" s="22"/>
      <c r="M95" s="20"/>
    </row>
    <row r="96" ht="15.75" customHeight="1">
      <c r="A96" s="19"/>
      <c r="B96" s="20"/>
      <c r="C96" s="20"/>
      <c r="D96" s="19"/>
      <c r="E96" s="19"/>
      <c r="F96" s="19"/>
      <c r="G96" s="21"/>
      <c r="H96" s="20"/>
      <c r="I96" s="20"/>
      <c r="J96" s="20"/>
      <c r="K96" s="19"/>
      <c r="L96" s="22"/>
      <c r="M96" s="20"/>
    </row>
    <row r="97" ht="15.75" customHeight="1">
      <c r="A97" s="19"/>
      <c r="B97" s="20"/>
      <c r="C97" s="20"/>
      <c r="D97" s="19"/>
      <c r="E97" s="19"/>
      <c r="F97" s="19"/>
      <c r="G97" s="21"/>
      <c r="H97" s="20"/>
      <c r="I97" s="20"/>
      <c r="J97" s="20"/>
      <c r="K97" s="19"/>
      <c r="L97" s="22"/>
      <c r="M97" s="20"/>
    </row>
    <row r="98" ht="15.75" customHeight="1">
      <c r="A98" s="19"/>
      <c r="B98" s="20"/>
      <c r="C98" s="20"/>
      <c r="D98" s="19"/>
      <c r="E98" s="19"/>
      <c r="F98" s="19"/>
      <c r="G98" s="21"/>
      <c r="H98" s="20"/>
      <c r="I98" s="20"/>
      <c r="J98" s="20"/>
      <c r="K98" s="19"/>
      <c r="L98" s="22"/>
      <c r="M98" s="20"/>
    </row>
    <row r="99" ht="15.75" customHeight="1">
      <c r="A99" s="19"/>
      <c r="B99" s="20"/>
      <c r="C99" s="20"/>
      <c r="D99" s="19"/>
      <c r="E99" s="19"/>
      <c r="F99" s="19"/>
      <c r="G99" s="21"/>
      <c r="H99" s="20"/>
      <c r="I99" s="20"/>
      <c r="J99" s="20"/>
      <c r="K99" s="19"/>
      <c r="L99" s="22"/>
      <c r="M99" s="20"/>
    </row>
    <row r="100" ht="15.75" customHeight="1">
      <c r="A100" s="19"/>
      <c r="B100" s="20"/>
      <c r="C100" s="20"/>
      <c r="D100" s="19"/>
      <c r="E100" s="19"/>
      <c r="F100" s="19"/>
      <c r="G100" s="21"/>
      <c r="H100" s="20"/>
      <c r="I100" s="20"/>
      <c r="J100" s="20"/>
      <c r="K100" s="19"/>
      <c r="L100" s="22"/>
      <c r="M100" s="20"/>
    </row>
    <row r="101" ht="15.75" customHeight="1">
      <c r="A101" s="19"/>
      <c r="B101" s="20"/>
      <c r="C101" s="20"/>
      <c r="D101" s="19"/>
      <c r="E101" s="19"/>
      <c r="F101" s="19"/>
      <c r="G101" s="21"/>
      <c r="H101" s="20"/>
      <c r="I101" s="20"/>
      <c r="J101" s="20"/>
      <c r="K101" s="19"/>
      <c r="L101" s="22"/>
      <c r="M101" s="20"/>
    </row>
    <row r="102" ht="15.75" customHeight="1">
      <c r="A102" s="19"/>
      <c r="B102" s="20"/>
      <c r="C102" s="20"/>
      <c r="D102" s="19"/>
      <c r="E102" s="19"/>
      <c r="F102" s="19"/>
      <c r="G102" s="21"/>
      <c r="H102" s="20"/>
      <c r="I102" s="20"/>
      <c r="J102" s="20"/>
      <c r="K102" s="19"/>
      <c r="L102" s="22"/>
      <c r="M102" s="20"/>
    </row>
    <row r="103" ht="15.75" customHeight="1">
      <c r="A103" s="19"/>
      <c r="B103" s="20"/>
      <c r="C103" s="20"/>
      <c r="D103" s="19"/>
      <c r="E103" s="19"/>
      <c r="F103" s="19"/>
      <c r="G103" s="21"/>
      <c r="H103" s="20"/>
      <c r="I103" s="20"/>
      <c r="J103" s="20"/>
      <c r="K103" s="19"/>
      <c r="L103" s="22"/>
      <c r="M103" s="20"/>
    </row>
    <row r="104" ht="15.75" customHeight="1">
      <c r="A104" s="19"/>
      <c r="B104" s="20"/>
      <c r="C104" s="20"/>
      <c r="D104" s="19"/>
      <c r="E104" s="19"/>
      <c r="F104" s="19"/>
      <c r="G104" s="21"/>
      <c r="H104" s="20"/>
      <c r="I104" s="20"/>
      <c r="J104" s="20"/>
      <c r="K104" s="19"/>
      <c r="L104" s="22"/>
      <c r="M104" s="20"/>
    </row>
    <row r="105" ht="15.75" customHeight="1">
      <c r="A105" s="19"/>
      <c r="B105" s="20"/>
      <c r="C105" s="20"/>
      <c r="D105" s="19"/>
      <c r="E105" s="19"/>
      <c r="F105" s="19"/>
      <c r="G105" s="21"/>
      <c r="H105" s="20"/>
      <c r="I105" s="20"/>
      <c r="J105" s="20"/>
      <c r="K105" s="19"/>
      <c r="L105" s="22"/>
      <c r="M105" s="20"/>
    </row>
    <row r="106" ht="15.75" customHeight="1">
      <c r="A106" s="19"/>
      <c r="B106" s="20"/>
      <c r="C106" s="20"/>
      <c r="D106" s="19"/>
      <c r="E106" s="19"/>
      <c r="F106" s="19"/>
      <c r="G106" s="21"/>
      <c r="H106" s="20"/>
      <c r="I106" s="20"/>
      <c r="J106" s="20"/>
      <c r="K106" s="19"/>
      <c r="L106" s="22"/>
      <c r="M106" s="20"/>
    </row>
    <row r="107" ht="15.75" customHeight="1">
      <c r="A107" s="19"/>
      <c r="B107" s="20"/>
      <c r="C107" s="20"/>
      <c r="D107" s="19"/>
      <c r="E107" s="19"/>
      <c r="F107" s="19"/>
      <c r="G107" s="21"/>
      <c r="H107" s="20"/>
      <c r="I107" s="20"/>
      <c r="J107" s="20"/>
      <c r="K107" s="19"/>
      <c r="L107" s="22"/>
      <c r="M107" s="20"/>
    </row>
    <row r="108" ht="15.75" customHeight="1">
      <c r="A108" s="19"/>
      <c r="B108" s="20"/>
      <c r="C108" s="20"/>
      <c r="D108" s="19"/>
      <c r="E108" s="19"/>
      <c r="F108" s="19"/>
      <c r="G108" s="21"/>
      <c r="H108" s="20"/>
      <c r="I108" s="20"/>
      <c r="J108" s="20"/>
      <c r="K108" s="19"/>
      <c r="L108" s="22"/>
      <c r="M108" s="20"/>
    </row>
    <row r="109" ht="15.75" customHeight="1">
      <c r="A109" s="19"/>
      <c r="B109" s="20"/>
      <c r="C109" s="20"/>
      <c r="D109" s="19"/>
      <c r="E109" s="19"/>
      <c r="F109" s="19"/>
      <c r="G109" s="21"/>
      <c r="H109" s="20"/>
      <c r="I109" s="20"/>
      <c r="J109" s="20"/>
      <c r="K109" s="19"/>
      <c r="L109" s="22"/>
      <c r="M109" s="20"/>
    </row>
    <row r="110" ht="15.75" customHeight="1">
      <c r="A110" s="19"/>
      <c r="B110" s="20"/>
      <c r="C110" s="20"/>
      <c r="D110" s="19"/>
      <c r="E110" s="19"/>
      <c r="F110" s="19"/>
      <c r="G110" s="21"/>
      <c r="H110" s="20"/>
      <c r="I110" s="20"/>
      <c r="J110" s="20"/>
      <c r="K110" s="19"/>
      <c r="L110" s="22"/>
      <c r="M110" s="20"/>
    </row>
    <row r="111" ht="15.75" customHeight="1">
      <c r="A111" s="19"/>
      <c r="B111" s="20"/>
      <c r="C111" s="20"/>
      <c r="D111" s="19"/>
      <c r="E111" s="19"/>
      <c r="F111" s="19"/>
      <c r="G111" s="21"/>
      <c r="H111" s="20"/>
      <c r="I111" s="20"/>
      <c r="J111" s="20"/>
      <c r="K111" s="19"/>
      <c r="L111" s="22"/>
      <c r="M111" s="20"/>
    </row>
    <row r="112" ht="15.75" customHeight="1">
      <c r="A112" s="19"/>
      <c r="B112" s="20"/>
      <c r="C112" s="20"/>
      <c r="D112" s="19"/>
      <c r="E112" s="19"/>
      <c r="F112" s="19"/>
      <c r="G112" s="21"/>
      <c r="H112" s="20"/>
      <c r="I112" s="20"/>
      <c r="J112" s="20"/>
      <c r="K112" s="19"/>
      <c r="L112" s="22"/>
      <c r="M112" s="20"/>
    </row>
    <row r="113" ht="15.75" customHeight="1">
      <c r="A113" s="19"/>
      <c r="B113" s="20"/>
      <c r="C113" s="20"/>
      <c r="D113" s="19"/>
      <c r="E113" s="19"/>
      <c r="F113" s="19"/>
      <c r="G113" s="21"/>
      <c r="H113" s="20"/>
      <c r="I113" s="20"/>
      <c r="J113" s="20"/>
      <c r="K113" s="19"/>
      <c r="L113" s="22"/>
      <c r="M113" s="20"/>
    </row>
    <row r="114" ht="15.75" customHeight="1">
      <c r="A114" s="19"/>
      <c r="B114" s="20"/>
      <c r="C114" s="20"/>
      <c r="D114" s="19"/>
      <c r="E114" s="19"/>
      <c r="F114" s="19"/>
      <c r="G114" s="21"/>
      <c r="H114" s="20"/>
      <c r="I114" s="20"/>
      <c r="J114" s="20"/>
      <c r="K114" s="19"/>
      <c r="L114" s="22"/>
      <c r="M114" s="20"/>
    </row>
    <row r="115" ht="15.75" customHeight="1">
      <c r="A115" s="19"/>
      <c r="B115" s="20"/>
      <c r="C115" s="20"/>
      <c r="D115" s="19"/>
      <c r="E115" s="19"/>
      <c r="F115" s="19"/>
      <c r="G115" s="21"/>
      <c r="H115" s="20"/>
      <c r="I115" s="20"/>
      <c r="J115" s="20"/>
      <c r="K115" s="19"/>
      <c r="L115" s="22"/>
      <c r="M115" s="20"/>
    </row>
    <row r="116" ht="15.75" customHeight="1">
      <c r="A116" s="19"/>
      <c r="B116" s="20"/>
      <c r="C116" s="20"/>
      <c r="D116" s="19"/>
      <c r="E116" s="19"/>
      <c r="F116" s="19"/>
      <c r="G116" s="21"/>
      <c r="H116" s="20"/>
      <c r="I116" s="20"/>
      <c r="J116" s="20"/>
      <c r="K116" s="19"/>
      <c r="L116" s="22"/>
      <c r="M116" s="20"/>
    </row>
    <row r="117" ht="15.75" customHeight="1">
      <c r="A117" s="19"/>
      <c r="B117" s="20"/>
      <c r="C117" s="20"/>
      <c r="D117" s="19"/>
      <c r="E117" s="19"/>
      <c r="F117" s="19"/>
      <c r="G117" s="21"/>
      <c r="H117" s="20"/>
      <c r="I117" s="20"/>
      <c r="J117" s="20"/>
      <c r="K117" s="19"/>
      <c r="L117" s="22"/>
      <c r="M117" s="20"/>
    </row>
    <row r="118" ht="15.75" customHeight="1">
      <c r="A118" s="19"/>
      <c r="B118" s="20"/>
      <c r="C118" s="20"/>
      <c r="D118" s="19"/>
      <c r="E118" s="19"/>
      <c r="F118" s="19"/>
      <c r="G118" s="21"/>
      <c r="H118" s="20"/>
      <c r="I118" s="20"/>
      <c r="J118" s="20"/>
      <c r="K118" s="19"/>
      <c r="L118" s="22"/>
      <c r="M118" s="20"/>
    </row>
    <row r="119" ht="15.75" customHeight="1">
      <c r="A119" s="19"/>
      <c r="B119" s="20"/>
      <c r="C119" s="20"/>
      <c r="D119" s="19"/>
      <c r="E119" s="19"/>
      <c r="F119" s="19"/>
      <c r="G119" s="21"/>
      <c r="H119" s="20"/>
      <c r="I119" s="20"/>
      <c r="J119" s="20"/>
      <c r="K119" s="19"/>
      <c r="L119" s="22"/>
      <c r="M119" s="20"/>
    </row>
    <row r="120" ht="15.75" customHeight="1">
      <c r="A120" s="19"/>
      <c r="B120" s="20"/>
      <c r="C120" s="20"/>
      <c r="D120" s="19"/>
      <c r="E120" s="19"/>
      <c r="F120" s="19"/>
      <c r="G120" s="21"/>
      <c r="H120" s="20"/>
      <c r="I120" s="20"/>
      <c r="J120" s="20"/>
      <c r="K120" s="19"/>
      <c r="L120" s="22"/>
      <c r="M120" s="20"/>
    </row>
    <row r="121" ht="15.75" customHeight="1">
      <c r="A121" s="19"/>
      <c r="B121" s="20"/>
      <c r="C121" s="20"/>
      <c r="D121" s="19"/>
      <c r="E121" s="19"/>
      <c r="F121" s="19"/>
      <c r="G121" s="21"/>
      <c r="H121" s="20"/>
      <c r="I121" s="20"/>
      <c r="J121" s="20"/>
      <c r="K121" s="19"/>
      <c r="L121" s="22"/>
      <c r="M121" s="20"/>
    </row>
    <row r="122" ht="15.75" customHeight="1">
      <c r="A122" s="19"/>
      <c r="B122" s="20"/>
      <c r="C122" s="20"/>
      <c r="D122" s="19"/>
      <c r="E122" s="19"/>
      <c r="F122" s="19"/>
      <c r="G122" s="21"/>
      <c r="H122" s="20"/>
      <c r="I122" s="20"/>
      <c r="J122" s="20"/>
      <c r="K122" s="19"/>
      <c r="L122" s="22"/>
      <c r="M122" s="20"/>
    </row>
    <row r="123" ht="15.75" customHeight="1">
      <c r="A123" s="19"/>
      <c r="B123" s="20"/>
      <c r="C123" s="20"/>
      <c r="D123" s="19"/>
      <c r="E123" s="19"/>
      <c r="F123" s="19"/>
      <c r="G123" s="21"/>
      <c r="H123" s="20"/>
      <c r="I123" s="20"/>
      <c r="J123" s="20"/>
      <c r="K123" s="19"/>
      <c r="L123" s="22"/>
      <c r="M123" s="20"/>
    </row>
    <row r="124" ht="15.75" customHeight="1">
      <c r="A124" s="19"/>
      <c r="B124" s="20"/>
      <c r="C124" s="20"/>
      <c r="D124" s="19"/>
      <c r="E124" s="19"/>
      <c r="F124" s="19"/>
      <c r="G124" s="21"/>
      <c r="H124" s="20"/>
      <c r="I124" s="20"/>
      <c r="J124" s="20"/>
      <c r="K124" s="19"/>
      <c r="L124" s="22"/>
      <c r="M124" s="20"/>
    </row>
    <row r="125" ht="15.75" customHeight="1">
      <c r="A125" s="19"/>
      <c r="B125" s="20"/>
      <c r="C125" s="20"/>
      <c r="D125" s="19"/>
      <c r="E125" s="19"/>
      <c r="F125" s="19"/>
      <c r="G125" s="21"/>
      <c r="H125" s="20"/>
      <c r="I125" s="20"/>
      <c r="J125" s="20"/>
      <c r="K125" s="19"/>
      <c r="L125" s="22"/>
      <c r="M125" s="20"/>
    </row>
    <row r="126" ht="15.75" customHeight="1">
      <c r="A126" s="19"/>
      <c r="B126" s="20"/>
      <c r="C126" s="20"/>
      <c r="D126" s="19"/>
      <c r="E126" s="19"/>
      <c r="F126" s="19"/>
      <c r="G126" s="21"/>
      <c r="H126" s="20"/>
      <c r="I126" s="20"/>
      <c r="J126" s="20"/>
      <c r="K126" s="19"/>
      <c r="L126" s="22"/>
      <c r="M126" s="20"/>
    </row>
    <row r="127" ht="15.75" customHeight="1">
      <c r="A127" s="19"/>
      <c r="B127" s="20"/>
      <c r="C127" s="20"/>
      <c r="D127" s="19"/>
      <c r="E127" s="19"/>
      <c r="F127" s="19"/>
      <c r="G127" s="21"/>
      <c r="H127" s="20"/>
      <c r="I127" s="20"/>
      <c r="J127" s="20"/>
      <c r="K127" s="19"/>
      <c r="L127" s="22"/>
      <c r="M127" s="20"/>
    </row>
    <row r="128" ht="15.75" customHeight="1">
      <c r="A128" s="19"/>
      <c r="B128" s="20"/>
      <c r="C128" s="20"/>
      <c r="D128" s="19"/>
      <c r="E128" s="19"/>
      <c r="F128" s="19"/>
      <c r="G128" s="21"/>
      <c r="H128" s="20"/>
      <c r="I128" s="20"/>
      <c r="J128" s="20"/>
      <c r="K128" s="19"/>
      <c r="L128" s="22"/>
      <c r="M128" s="20"/>
    </row>
    <row r="129" ht="15.75" customHeight="1">
      <c r="A129" s="19"/>
      <c r="B129" s="20"/>
      <c r="C129" s="20"/>
      <c r="D129" s="19"/>
      <c r="E129" s="19"/>
      <c r="F129" s="19"/>
      <c r="G129" s="21"/>
      <c r="H129" s="20"/>
      <c r="I129" s="20"/>
      <c r="J129" s="20"/>
      <c r="K129" s="19"/>
      <c r="L129" s="22"/>
      <c r="M129" s="20"/>
    </row>
    <row r="130" ht="15.75" customHeight="1">
      <c r="A130" s="19"/>
      <c r="B130" s="20"/>
      <c r="C130" s="20"/>
      <c r="D130" s="19"/>
      <c r="E130" s="19"/>
      <c r="F130" s="19"/>
      <c r="G130" s="21"/>
      <c r="H130" s="20"/>
      <c r="I130" s="20"/>
      <c r="J130" s="20"/>
      <c r="K130" s="19"/>
      <c r="L130" s="22"/>
      <c r="M130" s="20"/>
    </row>
    <row r="131" ht="15.75" customHeight="1">
      <c r="A131" s="19"/>
      <c r="B131" s="20"/>
      <c r="C131" s="20"/>
      <c r="D131" s="19"/>
      <c r="E131" s="19"/>
      <c r="F131" s="19"/>
      <c r="G131" s="21"/>
      <c r="H131" s="20"/>
      <c r="I131" s="20"/>
      <c r="J131" s="20"/>
      <c r="K131" s="19"/>
      <c r="L131" s="22"/>
      <c r="M131" s="20"/>
    </row>
    <row r="132" ht="15.75" customHeight="1">
      <c r="A132" s="19"/>
      <c r="B132" s="20"/>
      <c r="C132" s="20"/>
      <c r="D132" s="19"/>
      <c r="E132" s="19"/>
      <c r="F132" s="19"/>
      <c r="G132" s="21"/>
      <c r="H132" s="20"/>
      <c r="I132" s="20"/>
      <c r="J132" s="20"/>
      <c r="K132" s="19"/>
      <c r="L132" s="22"/>
      <c r="M132" s="20"/>
    </row>
    <row r="133" ht="15.75" customHeight="1">
      <c r="A133" s="19"/>
      <c r="B133" s="20"/>
      <c r="C133" s="20"/>
      <c r="D133" s="19"/>
      <c r="E133" s="19"/>
      <c r="F133" s="19"/>
      <c r="G133" s="21"/>
      <c r="H133" s="20"/>
      <c r="I133" s="20"/>
      <c r="J133" s="20"/>
      <c r="K133" s="19"/>
      <c r="L133" s="22"/>
      <c r="M133" s="20"/>
    </row>
    <row r="134" ht="15.75" customHeight="1">
      <c r="A134" s="19"/>
      <c r="B134" s="20"/>
      <c r="C134" s="20"/>
      <c r="D134" s="19"/>
      <c r="E134" s="19"/>
      <c r="F134" s="19"/>
      <c r="G134" s="21"/>
      <c r="H134" s="20"/>
      <c r="I134" s="20"/>
      <c r="J134" s="20"/>
      <c r="K134" s="19"/>
      <c r="L134" s="22"/>
      <c r="M134" s="20"/>
    </row>
    <row r="135" ht="15.75" customHeight="1">
      <c r="A135" s="19"/>
      <c r="B135" s="20"/>
      <c r="C135" s="20"/>
      <c r="D135" s="19"/>
      <c r="E135" s="19"/>
      <c r="F135" s="19"/>
      <c r="G135" s="21"/>
      <c r="H135" s="20"/>
      <c r="I135" s="20"/>
      <c r="J135" s="20"/>
      <c r="K135" s="19"/>
      <c r="L135" s="22"/>
      <c r="M135" s="20"/>
    </row>
    <row r="136" ht="15.75" customHeight="1">
      <c r="A136" s="19"/>
      <c r="B136" s="20"/>
      <c r="C136" s="20"/>
      <c r="D136" s="19"/>
      <c r="E136" s="19"/>
      <c r="F136" s="19"/>
      <c r="G136" s="21"/>
      <c r="H136" s="20"/>
      <c r="I136" s="20"/>
      <c r="J136" s="20"/>
      <c r="K136" s="19"/>
      <c r="L136" s="22"/>
      <c r="M136" s="20"/>
    </row>
    <row r="137" ht="15.75" customHeight="1">
      <c r="A137" s="19"/>
      <c r="B137" s="20"/>
      <c r="C137" s="20"/>
      <c r="D137" s="19"/>
      <c r="E137" s="19"/>
      <c r="F137" s="19"/>
      <c r="G137" s="21"/>
      <c r="H137" s="20"/>
      <c r="I137" s="20"/>
      <c r="J137" s="20"/>
      <c r="K137" s="19"/>
      <c r="L137" s="22"/>
      <c r="M137" s="20"/>
    </row>
    <row r="138" ht="15.75" customHeight="1">
      <c r="A138" s="19"/>
      <c r="B138" s="20"/>
      <c r="C138" s="20"/>
      <c r="D138" s="19"/>
      <c r="E138" s="19"/>
      <c r="F138" s="19"/>
      <c r="G138" s="21"/>
      <c r="H138" s="20"/>
      <c r="I138" s="20"/>
      <c r="J138" s="20"/>
      <c r="K138" s="19"/>
      <c r="L138" s="22"/>
      <c r="M138" s="20"/>
    </row>
    <row r="139" ht="15.75" customHeight="1">
      <c r="A139" s="19"/>
      <c r="B139" s="20"/>
      <c r="C139" s="20"/>
      <c r="D139" s="19"/>
      <c r="E139" s="19"/>
      <c r="F139" s="19"/>
      <c r="G139" s="21"/>
      <c r="H139" s="20"/>
      <c r="I139" s="20"/>
      <c r="J139" s="20"/>
      <c r="K139" s="19"/>
      <c r="L139" s="22"/>
      <c r="M139" s="20"/>
    </row>
    <row r="140" ht="15.75" customHeight="1">
      <c r="A140" s="19"/>
      <c r="B140" s="20"/>
      <c r="C140" s="20"/>
      <c r="D140" s="19"/>
      <c r="E140" s="19"/>
      <c r="F140" s="19"/>
      <c r="G140" s="21"/>
      <c r="H140" s="20"/>
      <c r="I140" s="20"/>
      <c r="J140" s="20"/>
      <c r="K140" s="19"/>
      <c r="L140" s="22"/>
      <c r="M140" s="20"/>
    </row>
    <row r="141" ht="15.75" customHeight="1">
      <c r="A141" s="19"/>
      <c r="B141" s="20"/>
      <c r="C141" s="20"/>
      <c r="D141" s="19"/>
      <c r="E141" s="19"/>
      <c r="F141" s="19"/>
      <c r="G141" s="21"/>
      <c r="H141" s="20"/>
      <c r="I141" s="20"/>
      <c r="J141" s="20"/>
      <c r="K141" s="19"/>
      <c r="L141" s="22"/>
      <c r="M141" s="20"/>
    </row>
    <row r="142" ht="15.75" customHeight="1">
      <c r="A142" s="19"/>
      <c r="B142" s="20"/>
      <c r="C142" s="20"/>
      <c r="D142" s="19"/>
      <c r="E142" s="19"/>
      <c r="F142" s="19"/>
      <c r="G142" s="21"/>
      <c r="H142" s="20"/>
      <c r="I142" s="20"/>
      <c r="J142" s="20"/>
      <c r="K142" s="19"/>
      <c r="L142" s="22"/>
      <c r="M142" s="20"/>
    </row>
    <row r="143" ht="15.75" customHeight="1">
      <c r="A143" s="19"/>
      <c r="B143" s="20"/>
      <c r="C143" s="20"/>
      <c r="D143" s="19"/>
      <c r="E143" s="19"/>
      <c r="F143" s="19"/>
      <c r="G143" s="21"/>
      <c r="H143" s="20"/>
      <c r="I143" s="20"/>
      <c r="J143" s="20"/>
      <c r="K143" s="19"/>
      <c r="L143" s="22"/>
      <c r="M143" s="20"/>
    </row>
    <row r="144" ht="15.75" customHeight="1">
      <c r="A144" s="19"/>
      <c r="B144" s="20"/>
      <c r="C144" s="20"/>
      <c r="D144" s="19"/>
      <c r="E144" s="19"/>
      <c r="F144" s="19"/>
      <c r="G144" s="21"/>
      <c r="H144" s="20"/>
      <c r="I144" s="20"/>
      <c r="J144" s="20"/>
      <c r="K144" s="19"/>
      <c r="L144" s="22"/>
      <c r="M144" s="20"/>
    </row>
    <row r="145" ht="15.75" customHeight="1">
      <c r="A145" s="19"/>
      <c r="B145" s="20"/>
      <c r="C145" s="20"/>
      <c r="D145" s="19"/>
      <c r="E145" s="19"/>
      <c r="F145" s="19"/>
      <c r="G145" s="21"/>
      <c r="H145" s="20"/>
      <c r="I145" s="20"/>
      <c r="J145" s="20"/>
      <c r="K145" s="19"/>
      <c r="L145" s="22"/>
      <c r="M145" s="20"/>
    </row>
    <row r="146" ht="15.75" customHeight="1">
      <c r="A146" s="19"/>
      <c r="B146" s="20"/>
      <c r="C146" s="20"/>
      <c r="D146" s="19"/>
      <c r="E146" s="19"/>
      <c r="F146" s="19"/>
      <c r="G146" s="21"/>
      <c r="H146" s="20"/>
      <c r="I146" s="20"/>
      <c r="J146" s="20"/>
      <c r="K146" s="19"/>
      <c r="L146" s="22"/>
      <c r="M146" s="20"/>
    </row>
    <row r="147" ht="15.75" customHeight="1">
      <c r="A147" s="19"/>
      <c r="B147" s="20"/>
      <c r="C147" s="20"/>
      <c r="D147" s="19"/>
      <c r="E147" s="19"/>
      <c r="F147" s="19"/>
      <c r="G147" s="21"/>
      <c r="H147" s="20"/>
      <c r="I147" s="20"/>
      <c r="J147" s="20"/>
      <c r="K147" s="19"/>
      <c r="L147" s="22"/>
      <c r="M147" s="20"/>
    </row>
    <row r="148" ht="15.75" customHeight="1">
      <c r="A148" s="19"/>
      <c r="B148" s="20"/>
      <c r="C148" s="20"/>
      <c r="D148" s="19"/>
      <c r="E148" s="19"/>
      <c r="F148" s="19"/>
      <c r="G148" s="21"/>
      <c r="H148" s="20"/>
      <c r="I148" s="20"/>
      <c r="J148" s="20"/>
      <c r="K148" s="19"/>
      <c r="L148" s="22"/>
      <c r="M148" s="20"/>
    </row>
    <row r="149" ht="15.75" customHeight="1">
      <c r="A149" s="19"/>
      <c r="B149" s="20"/>
      <c r="C149" s="20"/>
      <c r="D149" s="19"/>
      <c r="E149" s="19"/>
      <c r="F149" s="19"/>
      <c r="G149" s="21"/>
      <c r="H149" s="20"/>
      <c r="I149" s="20"/>
      <c r="J149" s="20"/>
      <c r="K149" s="19"/>
      <c r="L149" s="22"/>
      <c r="M149" s="20"/>
    </row>
    <row r="150" ht="15.75" customHeight="1">
      <c r="A150" s="19"/>
      <c r="B150" s="20"/>
      <c r="C150" s="20"/>
      <c r="D150" s="19"/>
      <c r="E150" s="19"/>
      <c r="F150" s="19"/>
      <c r="G150" s="21"/>
      <c r="H150" s="20"/>
      <c r="I150" s="20"/>
      <c r="J150" s="20"/>
      <c r="K150" s="19"/>
      <c r="L150" s="22"/>
      <c r="M150" s="20"/>
    </row>
    <row r="151" ht="15.75" customHeight="1">
      <c r="A151" s="19"/>
      <c r="B151" s="20"/>
      <c r="C151" s="20"/>
      <c r="D151" s="19"/>
      <c r="E151" s="19"/>
      <c r="F151" s="19"/>
      <c r="G151" s="21"/>
      <c r="H151" s="20"/>
      <c r="I151" s="20"/>
      <c r="J151" s="20"/>
      <c r="K151" s="19"/>
      <c r="L151" s="22"/>
      <c r="M151" s="20"/>
    </row>
    <row r="152" ht="15.75" customHeight="1">
      <c r="A152" s="19"/>
      <c r="B152" s="20"/>
      <c r="C152" s="20"/>
      <c r="D152" s="19"/>
      <c r="E152" s="19"/>
      <c r="F152" s="19"/>
      <c r="G152" s="21"/>
      <c r="H152" s="20"/>
      <c r="I152" s="20"/>
      <c r="J152" s="20"/>
      <c r="K152" s="19"/>
      <c r="L152" s="22"/>
      <c r="M152" s="20"/>
    </row>
    <row r="153" ht="15.75" customHeight="1">
      <c r="A153" s="19"/>
      <c r="B153" s="20"/>
      <c r="C153" s="20"/>
      <c r="D153" s="19"/>
      <c r="E153" s="19"/>
      <c r="F153" s="19"/>
      <c r="G153" s="21"/>
      <c r="H153" s="20"/>
      <c r="I153" s="20"/>
      <c r="J153" s="20"/>
      <c r="K153" s="19"/>
      <c r="L153" s="22"/>
      <c r="M153" s="20"/>
    </row>
    <row r="154" ht="15.75" customHeight="1">
      <c r="A154" s="19"/>
      <c r="B154" s="20"/>
      <c r="C154" s="20"/>
      <c r="D154" s="19"/>
      <c r="E154" s="19"/>
      <c r="F154" s="19"/>
      <c r="G154" s="21"/>
      <c r="H154" s="20"/>
      <c r="I154" s="20"/>
      <c r="J154" s="20"/>
      <c r="K154" s="19"/>
      <c r="L154" s="22"/>
      <c r="M154" s="20"/>
    </row>
    <row r="155" ht="15.75" customHeight="1">
      <c r="A155" s="19"/>
      <c r="B155" s="20"/>
      <c r="C155" s="20"/>
      <c r="D155" s="19"/>
      <c r="E155" s="19"/>
      <c r="F155" s="19"/>
      <c r="G155" s="21"/>
      <c r="H155" s="20"/>
      <c r="I155" s="20"/>
      <c r="J155" s="20"/>
      <c r="K155" s="19"/>
      <c r="L155" s="22"/>
      <c r="M155" s="20"/>
    </row>
    <row r="156" ht="15.75" customHeight="1">
      <c r="A156" s="19"/>
      <c r="B156" s="20"/>
      <c r="C156" s="20"/>
      <c r="D156" s="19"/>
      <c r="E156" s="19"/>
      <c r="F156" s="19"/>
      <c r="G156" s="21"/>
      <c r="H156" s="20"/>
      <c r="I156" s="20"/>
      <c r="J156" s="20"/>
      <c r="K156" s="19"/>
      <c r="L156" s="22"/>
      <c r="M156" s="20"/>
    </row>
    <row r="157" ht="15.75" customHeight="1">
      <c r="A157" s="19"/>
      <c r="B157" s="20"/>
      <c r="C157" s="20"/>
      <c r="D157" s="19"/>
      <c r="E157" s="19"/>
      <c r="F157" s="19"/>
      <c r="G157" s="21"/>
      <c r="H157" s="20"/>
      <c r="I157" s="20"/>
      <c r="J157" s="20"/>
      <c r="K157" s="19"/>
      <c r="L157" s="22"/>
      <c r="M157" s="20"/>
    </row>
    <row r="158" ht="15.75" customHeight="1">
      <c r="A158" s="19"/>
      <c r="B158" s="20"/>
      <c r="C158" s="20"/>
      <c r="D158" s="19"/>
      <c r="E158" s="19"/>
      <c r="F158" s="19"/>
      <c r="G158" s="21"/>
      <c r="H158" s="20"/>
      <c r="I158" s="20"/>
      <c r="J158" s="20"/>
      <c r="K158" s="19"/>
      <c r="L158" s="22"/>
      <c r="M158" s="20"/>
    </row>
    <row r="159" ht="15.75" customHeight="1">
      <c r="A159" s="19"/>
      <c r="B159" s="20"/>
      <c r="C159" s="20"/>
      <c r="D159" s="19"/>
      <c r="E159" s="19"/>
      <c r="F159" s="19"/>
      <c r="G159" s="21"/>
      <c r="H159" s="20"/>
      <c r="I159" s="20"/>
      <c r="J159" s="20"/>
      <c r="K159" s="19"/>
      <c r="L159" s="22"/>
      <c r="M159" s="20"/>
    </row>
    <row r="160" ht="15.75" customHeight="1">
      <c r="A160" s="19"/>
      <c r="B160" s="20"/>
      <c r="C160" s="20"/>
      <c r="D160" s="19"/>
      <c r="E160" s="19"/>
      <c r="F160" s="19"/>
      <c r="G160" s="21"/>
      <c r="H160" s="20"/>
      <c r="I160" s="20"/>
      <c r="J160" s="20"/>
      <c r="K160" s="19"/>
      <c r="L160" s="22"/>
      <c r="M160" s="20"/>
    </row>
    <row r="161" ht="15.75" customHeight="1">
      <c r="A161" s="19"/>
      <c r="B161" s="20"/>
      <c r="C161" s="20"/>
      <c r="D161" s="19"/>
      <c r="E161" s="19"/>
      <c r="F161" s="19"/>
      <c r="G161" s="21"/>
      <c r="H161" s="20"/>
      <c r="I161" s="20"/>
      <c r="J161" s="20"/>
      <c r="K161" s="19"/>
      <c r="L161" s="22"/>
      <c r="M161" s="20"/>
    </row>
    <row r="162" ht="15.75" customHeight="1">
      <c r="A162" s="19"/>
      <c r="B162" s="20"/>
      <c r="C162" s="20"/>
      <c r="D162" s="19"/>
      <c r="E162" s="19"/>
      <c r="F162" s="19"/>
      <c r="G162" s="21"/>
      <c r="H162" s="20"/>
      <c r="I162" s="20"/>
      <c r="J162" s="20"/>
      <c r="K162" s="19"/>
      <c r="L162" s="22"/>
      <c r="M162" s="20"/>
    </row>
    <row r="163" ht="15.75" customHeight="1">
      <c r="A163" s="19"/>
      <c r="B163" s="20"/>
      <c r="C163" s="20"/>
      <c r="D163" s="19"/>
      <c r="E163" s="19"/>
      <c r="F163" s="19"/>
      <c r="G163" s="21"/>
      <c r="H163" s="20"/>
      <c r="I163" s="20"/>
      <c r="J163" s="20"/>
      <c r="K163" s="19"/>
      <c r="L163" s="22"/>
      <c r="M163" s="20"/>
    </row>
    <row r="164" ht="15.75" customHeight="1">
      <c r="A164" s="19"/>
      <c r="B164" s="20"/>
      <c r="C164" s="20"/>
      <c r="D164" s="19"/>
      <c r="E164" s="19"/>
      <c r="F164" s="19"/>
      <c r="G164" s="21"/>
      <c r="H164" s="20"/>
      <c r="I164" s="20"/>
      <c r="J164" s="20"/>
      <c r="K164" s="19"/>
      <c r="L164" s="22"/>
      <c r="M164" s="20"/>
    </row>
    <row r="165" ht="15.75" customHeight="1">
      <c r="A165" s="19"/>
      <c r="B165" s="20"/>
      <c r="C165" s="20"/>
      <c r="D165" s="19"/>
      <c r="E165" s="19"/>
      <c r="F165" s="19"/>
      <c r="G165" s="21"/>
      <c r="H165" s="20"/>
      <c r="I165" s="20"/>
      <c r="J165" s="20"/>
      <c r="K165" s="19"/>
      <c r="L165" s="22"/>
      <c r="M165" s="20"/>
    </row>
    <row r="166" ht="15.75" customHeight="1">
      <c r="A166" s="19"/>
      <c r="B166" s="20"/>
      <c r="C166" s="20"/>
      <c r="D166" s="19"/>
      <c r="E166" s="19"/>
      <c r="F166" s="19"/>
      <c r="G166" s="21"/>
      <c r="H166" s="20"/>
      <c r="I166" s="20"/>
      <c r="J166" s="20"/>
      <c r="K166" s="19"/>
      <c r="L166" s="22"/>
      <c r="M166" s="20"/>
    </row>
    <row r="167" ht="15.75" customHeight="1">
      <c r="A167" s="19"/>
      <c r="B167" s="20"/>
      <c r="C167" s="20"/>
      <c r="D167" s="19"/>
      <c r="E167" s="19"/>
      <c r="F167" s="19"/>
      <c r="G167" s="21"/>
      <c r="H167" s="20"/>
      <c r="I167" s="20"/>
      <c r="J167" s="20"/>
      <c r="K167" s="19"/>
      <c r="L167" s="22"/>
      <c r="M167" s="20"/>
    </row>
    <row r="168" ht="15.75" customHeight="1">
      <c r="A168" s="19"/>
      <c r="B168" s="20"/>
      <c r="C168" s="20"/>
      <c r="D168" s="19"/>
      <c r="E168" s="19"/>
      <c r="F168" s="19"/>
      <c r="G168" s="21"/>
      <c r="H168" s="20"/>
      <c r="I168" s="20"/>
      <c r="J168" s="20"/>
      <c r="K168" s="19"/>
      <c r="L168" s="22"/>
      <c r="M168" s="20"/>
    </row>
    <row r="169" ht="15.75" customHeight="1">
      <c r="A169" s="19"/>
      <c r="B169" s="20"/>
      <c r="C169" s="20"/>
      <c r="D169" s="19"/>
      <c r="E169" s="19"/>
      <c r="F169" s="19"/>
      <c r="G169" s="21"/>
      <c r="H169" s="20"/>
      <c r="I169" s="20"/>
      <c r="J169" s="20"/>
      <c r="K169" s="19"/>
      <c r="L169" s="22"/>
      <c r="M169" s="20"/>
    </row>
    <row r="170" ht="15.75" customHeight="1">
      <c r="A170" s="19"/>
      <c r="B170" s="20"/>
      <c r="C170" s="20"/>
      <c r="D170" s="19"/>
      <c r="E170" s="19"/>
      <c r="F170" s="19"/>
      <c r="G170" s="21"/>
      <c r="H170" s="20"/>
      <c r="I170" s="20"/>
      <c r="J170" s="20"/>
      <c r="K170" s="19"/>
      <c r="L170" s="22"/>
      <c r="M170" s="20"/>
    </row>
    <row r="171" ht="15.75" customHeight="1">
      <c r="A171" s="19"/>
      <c r="B171" s="20"/>
      <c r="C171" s="20"/>
      <c r="D171" s="19"/>
      <c r="E171" s="19"/>
      <c r="F171" s="19"/>
      <c r="G171" s="21"/>
      <c r="H171" s="20"/>
      <c r="I171" s="20"/>
      <c r="J171" s="20"/>
      <c r="K171" s="19"/>
      <c r="L171" s="22"/>
      <c r="M171" s="20"/>
    </row>
    <row r="172" ht="15.75" customHeight="1">
      <c r="A172" s="19"/>
      <c r="B172" s="20"/>
      <c r="C172" s="20"/>
      <c r="D172" s="19"/>
      <c r="E172" s="19"/>
      <c r="F172" s="19"/>
      <c r="G172" s="21"/>
      <c r="H172" s="20"/>
      <c r="I172" s="20"/>
      <c r="J172" s="20"/>
      <c r="K172" s="19"/>
      <c r="L172" s="22"/>
      <c r="M172" s="20"/>
    </row>
    <row r="173" ht="15.75" customHeight="1">
      <c r="A173" s="19"/>
      <c r="B173" s="20"/>
      <c r="C173" s="20"/>
      <c r="D173" s="19"/>
      <c r="E173" s="19"/>
      <c r="F173" s="19"/>
      <c r="G173" s="21"/>
      <c r="H173" s="20"/>
      <c r="I173" s="20"/>
      <c r="J173" s="20"/>
      <c r="K173" s="19"/>
      <c r="L173" s="22"/>
      <c r="M173" s="20"/>
    </row>
    <row r="174" ht="15.75" customHeight="1">
      <c r="A174" s="19"/>
      <c r="B174" s="20"/>
      <c r="C174" s="20"/>
      <c r="D174" s="19"/>
      <c r="E174" s="19"/>
      <c r="F174" s="19"/>
      <c r="G174" s="21"/>
      <c r="H174" s="20"/>
      <c r="I174" s="20"/>
      <c r="J174" s="20"/>
      <c r="K174" s="19"/>
      <c r="L174" s="22"/>
      <c r="M174" s="20"/>
    </row>
    <row r="175" ht="15.75" customHeight="1">
      <c r="A175" s="19"/>
      <c r="B175" s="20"/>
      <c r="C175" s="20"/>
      <c r="D175" s="19"/>
      <c r="E175" s="19"/>
      <c r="F175" s="19"/>
      <c r="G175" s="21"/>
      <c r="H175" s="20"/>
      <c r="I175" s="20"/>
      <c r="J175" s="20"/>
      <c r="K175" s="19"/>
      <c r="L175" s="22"/>
      <c r="M175" s="20"/>
    </row>
    <row r="176" ht="15.75" customHeight="1">
      <c r="A176" s="19"/>
      <c r="B176" s="20"/>
      <c r="C176" s="20"/>
      <c r="D176" s="19"/>
      <c r="E176" s="19"/>
      <c r="F176" s="19"/>
      <c r="G176" s="21"/>
      <c r="H176" s="20"/>
      <c r="I176" s="20"/>
      <c r="J176" s="20"/>
      <c r="K176" s="19"/>
      <c r="L176" s="22"/>
      <c r="M176" s="20"/>
    </row>
    <row r="177" ht="15.75" customHeight="1">
      <c r="A177" s="19"/>
      <c r="B177" s="20"/>
      <c r="C177" s="20"/>
      <c r="D177" s="19"/>
      <c r="E177" s="19"/>
      <c r="F177" s="19"/>
      <c r="G177" s="21"/>
      <c r="H177" s="20"/>
      <c r="I177" s="20"/>
      <c r="J177" s="20"/>
      <c r="K177" s="19"/>
      <c r="L177" s="22"/>
      <c r="M177" s="20"/>
    </row>
    <row r="178" ht="15.75" customHeight="1">
      <c r="A178" s="19"/>
      <c r="B178" s="20"/>
      <c r="C178" s="20"/>
      <c r="D178" s="19"/>
      <c r="E178" s="19"/>
      <c r="F178" s="19"/>
      <c r="G178" s="21"/>
      <c r="H178" s="20"/>
      <c r="I178" s="20"/>
      <c r="J178" s="20"/>
      <c r="K178" s="19"/>
      <c r="L178" s="22"/>
      <c r="M178" s="20"/>
    </row>
    <row r="179" ht="15.75" customHeight="1">
      <c r="A179" s="19"/>
      <c r="B179" s="20"/>
      <c r="C179" s="20"/>
      <c r="D179" s="19"/>
      <c r="E179" s="19"/>
      <c r="F179" s="19"/>
      <c r="G179" s="21"/>
      <c r="H179" s="20"/>
      <c r="I179" s="20"/>
      <c r="J179" s="20"/>
      <c r="K179" s="19"/>
      <c r="L179" s="22"/>
      <c r="M179" s="20"/>
    </row>
    <row r="180" ht="15.75" customHeight="1">
      <c r="A180" s="19"/>
      <c r="B180" s="20"/>
      <c r="C180" s="20"/>
      <c r="D180" s="19"/>
      <c r="E180" s="19"/>
      <c r="F180" s="19"/>
      <c r="G180" s="21"/>
      <c r="H180" s="20"/>
      <c r="I180" s="20"/>
      <c r="J180" s="20"/>
      <c r="K180" s="19"/>
      <c r="L180" s="22"/>
      <c r="M180" s="20"/>
    </row>
    <row r="181" ht="15.75" customHeight="1">
      <c r="A181" s="19"/>
      <c r="B181" s="20"/>
      <c r="C181" s="20"/>
      <c r="D181" s="19"/>
      <c r="E181" s="19"/>
      <c r="F181" s="19"/>
      <c r="G181" s="21"/>
      <c r="H181" s="20"/>
      <c r="I181" s="20"/>
      <c r="J181" s="20"/>
      <c r="K181" s="19"/>
      <c r="L181" s="22"/>
      <c r="M181" s="20"/>
    </row>
    <row r="182" ht="15.75" customHeight="1">
      <c r="A182" s="19"/>
      <c r="B182" s="20"/>
      <c r="C182" s="20"/>
      <c r="D182" s="19"/>
      <c r="E182" s="19"/>
      <c r="F182" s="19"/>
      <c r="G182" s="21"/>
      <c r="H182" s="20"/>
      <c r="I182" s="20"/>
      <c r="J182" s="20"/>
      <c r="K182" s="19"/>
      <c r="L182" s="22"/>
      <c r="M182" s="20"/>
    </row>
    <row r="183" ht="15.75" customHeight="1">
      <c r="A183" s="19"/>
      <c r="B183" s="20"/>
      <c r="C183" s="20"/>
      <c r="D183" s="19"/>
      <c r="E183" s="19"/>
      <c r="F183" s="19"/>
      <c r="G183" s="21"/>
      <c r="H183" s="20"/>
      <c r="I183" s="20"/>
      <c r="J183" s="20"/>
      <c r="K183" s="19"/>
      <c r="L183" s="22"/>
      <c r="M183" s="20"/>
    </row>
    <row r="184" ht="15.75" customHeight="1">
      <c r="A184" s="19"/>
      <c r="B184" s="20"/>
      <c r="C184" s="20"/>
      <c r="D184" s="19"/>
      <c r="E184" s="19"/>
      <c r="F184" s="19"/>
      <c r="G184" s="21"/>
      <c r="H184" s="20"/>
      <c r="I184" s="20"/>
      <c r="J184" s="20"/>
      <c r="K184" s="19"/>
      <c r="L184" s="22"/>
      <c r="M184" s="20"/>
    </row>
    <row r="185" ht="15.75" customHeight="1">
      <c r="A185" s="19"/>
      <c r="B185" s="20"/>
      <c r="C185" s="20"/>
      <c r="D185" s="19"/>
      <c r="E185" s="19"/>
      <c r="F185" s="19"/>
      <c r="G185" s="21"/>
      <c r="H185" s="20"/>
      <c r="I185" s="20"/>
      <c r="J185" s="20"/>
      <c r="K185" s="19"/>
      <c r="L185" s="22"/>
      <c r="M185" s="20"/>
    </row>
    <row r="186" ht="15.75" customHeight="1">
      <c r="A186" s="19"/>
      <c r="B186" s="20"/>
      <c r="C186" s="20"/>
      <c r="D186" s="19"/>
      <c r="E186" s="19"/>
      <c r="F186" s="19"/>
      <c r="G186" s="21"/>
      <c r="H186" s="20"/>
      <c r="I186" s="20"/>
      <c r="J186" s="20"/>
      <c r="K186" s="19"/>
      <c r="L186" s="22"/>
      <c r="M186" s="20"/>
    </row>
    <row r="187" ht="15.75" customHeight="1">
      <c r="A187" s="19"/>
      <c r="B187" s="20"/>
      <c r="C187" s="20"/>
      <c r="D187" s="19"/>
      <c r="E187" s="19"/>
      <c r="F187" s="19"/>
      <c r="G187" s="21"/>
      <c r="H187" s="20"/>
      <c r="I187" s="20"/>
      <c r="J187" s="20"/>
      <c r="K187" s="19"/>
      <c r="L187" s="22"/>
      <c r="M187" s="20"/>
    </row>
    <row r="188" ht="15.75" customHeight="1">
      <c r="A188" s="19"/>
      <c r="B188" s="20"/>
      <c r="C188" s="20"/>
      <c r="D188" s="19"/>
      <c r="E188" s="19"/>
      <c r="F188" s="19"/>
      <c r="G188" s="21"/>
      <c r="H188" s="20"/>
      <c r="I188" s="20"/>
      <c r="J188" s="20"/>
      <c r="K188" s="19"/>
      <c r="L188" s="22"/>
      <c r="M188" s="20"/>
    </row>
    <row r="189" ht="15.75" customHeight="1">
      <c r="A189" s="19"/>
      <c r="B189" s="20"/>
      <c r="C189" s="20"/>
      <c r="D189" s="19"/>
      <c r="E189" s="19"/>
      <c r="F189" s="19"/>
      <c r="G189" s="21"/>
      <c r="H189" s="20"/>
      <c r="I189" s="20"/>
      <c r="J189" s="20"/>
      <c r="K189" s="19"/>
      <c r="L189" s="22"/>
      <c r="M189" s="20"/>
    </row>
    <row r="190" ht="15.75" customHeight="1">
      <c r="A190" s="19"/>
      <c r="B190" s="20"/>
      <c r="C190" s="20"/>
      <c r="D190" s="19"/>
      <c r="E190" s="19"/>
      <c r="F190" s="19"/>
      <c r="G190" s="21"/>
      <c r="H190" s="20"/>
      <c r="I190" s="20"/>
      <c r="J190" s="20"/>
      <c r="K190" s="19"/>
      <c r="L190" s="22"/>
      <c r="M190" s="20"/>
    </row>
    <row r="191" ht="15.75" customHeight="1">
      <c r="A191" s="19"/>
      <c r="B191" s="20"/>
      <c r="C191" s="20"/>
      <c r="D191" s="19"/>
      <c r="E191" s="19"/>
      <c r="F191" s="19"/>
      <c r="G191" s="21"/>
      <c r="H191" s="20"/>
      <c r="I191" s="20"/>
      <c r="J191" s="20"/>
      <c r="K191" s="19"/>
      <c r="L191" s="22"/>
      <c r="M191" s="20"/>
    </row>
    <row r="192" ht="15.75" customHeight="1">
      <c r="A192" s="19"/>
      <c r="B192" s="20"/>
      <c r="C192" s="20"/>
      <c r="D192" s="19"/>
      <c r="E192" s="19"/>
      <c r="F192" s="19"/>
      <c r="G192" s="21"/>
      <c r="H192" s="20"/>
      <c r="I192" s="20"/>
      <c r="J192" s="20"/>
      <c r="K192" s="19"/>
      <c r="L192" s="22"/>
      <c r="M192" s="20"/>
    </row>
    <row r="193" ht="15.75" customHeight="1">
      <c r="A193" s="19"/>
      <c r="B193" s="20"/>
      <c r="C193" s="20"/>
      <c r="D193" s="19"/>
      <c r="E193" s="19"/>
      <c r="F193" s="19"/>
      <c r="G193" s="21"/>
      <c r="H193" s="20"/>
      <c r="I193" s="20"/>
      <c r="J193" s="20"/>
      <c r="K193" s="19"/>
      <c r="L193" s="22"/>
      <c r="M193" s="20"/>
    </row>
    <row r="194" ht="15.75" customHeight="1">
      <c r="A194" s="19"/>
      <c r="B194" s="20"/>
      <c r="C194" s="20"/>
      <c r="D194" s="19"/>
      <c r="E194" s="19"/>
      <c r="F194" s="19"/>
      <c r="G194" s="21"/>
      <c r="H194" s="20"/>
      <c r="I194" s="20"/>
      <c r="J194" s="20"/>
      <c r="K194" s="19"/>
      <c r="L194" s="22"/>
      <c r="M194" s="20"/>
    </row>
    <row r="195" ht="15.75" customHeight="1">
      <c r="A195" s="19"/>
      <c r="B195" s="20"/>
      <c r="C195" s="20"/>
      <c r="D195" s="19"/>
      <c r="E195" s="19"/>
      <c r="F195" s="19"/>
      <c r="G195" s="21"/>
      <c r="H195" s="20"/>
      <c r="I195" s="20"/>
      <c r="J195" s="20"/>
      <c r="K195" s="19"/>
      <c r="L195" s="22"/>
      <c r="M195" s="20"/>
    </row>
    <row r="196" ht="15.75" customHeight="1">
      <c r="A196" s="19"/>
      <c r="B196" s="20"/>
      <c r="C196" s="20"/>
      <c r="D196" s="19"/>
      <c r="E196" s="19"/>
      <c r="F196" s="19"/>
      <c r="G196" s="21"/>
      <c r="H196" s="20"/>
      <c r="I196" s="20"/>
      <c r="J196" s="20"/>
      <c r="K196" s="19"/>
      <c r="L196" s="22"/>
      <c r="M196" s="20"/>
    </row>
    <row r="197" ht="15.75" customHeight="1">
      <c r="A197" s="19"/>
      <c r="B197" s="20"/>
      <c r="C197" s="20"/>
      <c r="D197" s="19"/>
      <c r="E197" s="19"/>
      <c r="F197" s="19"/>
      <c r="G197" s="21"/>
      <c r="H197" s="20"/>
      <c r="I197" s="20"/>
      <c r="J197" s="20"/>
      <c r="K197" s="19"/>
      <c r="L197" s="22"/>
      <c r="M197" s="20"/>
    </row>
    <row r="198" ht="15.75" customHeight="1">
      <c r="A198" s="19"/>
      <c r="B198" s="20"/>
      <c r="C198" s="20"/>
      <c r="D198" s="19"/>
      <c r="E198" s="19"/>
      <c r="F198" s="19"/>
      <c r="G198" s="21"/>
      <c r="H198" s="20"/>
      <c r="I198" s="20"/>
      <c r="J198" s="20"/>
      <c r="K198" s="19"/>
      <c r="L198" s="22"/>
      <c r="M198" s="20"/>
    </row>
    <row r="199" ht="15.75" customHeight="1">
      <c r="A199" s="19"/>
      <c r="B199" s="20"/>
      <c r="C199" s="20"/>
      <c r="D199" s="19"/>
      <c r="E199" s="19"/>
      <c r="F199" s="19"/>
      <c r="G199" s="21"/>
      <c r="H199" s="20"/>
      <c r="I199" s="20"/>
      <c r="J199" s="20"/>
      <c r="K199" s="19"/>
      <c r="L199" s="22"/>
      <c r="M199" s="20"/>
    </row>
    <row r="200" ht="15.75" customHeight="1">
      <c r="A200" s="19"/>
      <c r="B200" s="20"/>
      <c r="C200" s="20"/>
      <c r="D200" s="19"/>
      <c r="E200" s="19"/>
      <c r="F200" s="19"/>
      <c r="G200" s="21"/>
      <c r="H200" s="20"/>
      <c r="I200" s="20"/>
      <c r="J200" s="20"/>
      <c r="K200" s="19"/>
      <c r="L200" s="22"/>
      <c r="M200" s="20"/>
    </row>
    <row r="201" ht="15.75" customHeight="1">
      <c r="A201" s="19"/>
      <c r="B201" s="20"/>
      <c r="C201" s="20"/>
      <c r="D201" s="19"/>
      <c r="E201" s="19"/>
      <c r="F201" s="19"/>
      <c r="G201" s="21"/>
      <c r="H201" s="20"/>
      <c r="I201" s="20"/>
      <c r="J201" s="20"/>
      <c r="K201" s="19"/>
      <c r="L201" s="22"/>
      <c r="M201" s="20"/>
    </row>
    <row r="202" ht="15.75" customHeight="1">
      <c r="A202" s="19"/>
      <c r="B202" s="20"/>
      <c r="C202" s="20"/>
      <c r="D202" s="19"/>
      <c r="E202" s="19"/>
      <c r="F202" s="19"/>
      <c r="G202" s="21"/>
      <c r="H202" s="20"/>
      <c r="I202" s="20"/>
      <c r="J202" s="20"/>
      <c r="K202" s="19"/>
      <c r="L202" s="22"/>
      <c r="M202" s="20"/>
    </row>
    <row r="203" ht="15.75" customHeight="1">
      <c r="A203" s="19"/>
      <c r="B203" s="20"/>
      <c r="C203" s="20"/>
      <c r="D203" s="19"/>
      <c r="E203" s="19"/>
      <c r="F203" s="19"/>
      <c r="G203" s="21"/>
      <c r="H203" s="20"/>
      <c r="I203" s="20"/>
      <c r="J203" s="20"/>
      <c r="K203" s="19"/>
      <c r="L203" s="22"/>
      <c r="M203" s="20"/>
    </row>
    <row r="204" ht="15.75" customHeight="1">
      <c r="A204" s="19"/>
      <c r="B204" s="20"/>
      <c r="C204" s="20"/>
      <c r="D204" s="19"/>
      <c r="E204" s="19"/>
      <c r="F204" s="19"/>
      <c r="G204" s="21"/>
      <c r="H204" s="20"/>
      <c r="I204" s="20"/>
      <c r="J204" s="20"/>
      <c r="K204" s="19"/>
      <c r="L204" s="22"/>
      <c r="M204" s="20"/>
    </row>
    <row r="205" ht="15.75" customHeight="1">
      <c r="A205" s="19"/>
      <c r="B205" s="20"/>
      <c r="C205" s="20"/>
      <c r="D205" s="19"/>
      <c r="E205" s="19"/>
      <c r="F205" s="19"/>
      <c r="G205" s="21"/>
      <c r="H205" s="20"/>
      <c r="I205" s="20"/>
      <c r="J205" s="20"/>
      <c r="K205" s="19"/>
      <c r="L205" s="22"/>
      <c r="M205" s="20"/>
    </row>
    <row r="206" ht="15.75" customHeight="1">
      <c r="A206" s="19"/>
      <c r="B206" s="20"/>
      <c r="C206" s="20"/>
      <c r="D206" s="19"/>
      <c r="E206" s="19"/>
      <c r="F206" s="19"/>
      <c r="G206" s="21"/>
      <c r="H206" s="20"/>
      <c r="I206" s="20"/>
      <c r="J206" s="20"/>
      <c r="K206" s="19"/>
      <c r="L206" s="22"/>
      <c r="M206" s="20"/>
    </row>
    <row r="207" ht="15.75" customHeight="1">
      <c r="A207" s="19"/>
      <c r="B207" s="20"/>
      <c r="C207" s="20"/>
      <c r="D207" s="19"/>
      <c r="E207" s="19"/>
      <c r="F207" s="19"/>
      <c r="G207" s="21"/>
      <c r="H207" s="20"/>
      <c r="I207" s="20"/>
      <c r="J207" s="20"/>
      <c r="K207" s="19"/>
      <c r="L207" s="22"/>
      <c r="M207" s="20"/>
    </row>
    <row r="208" ht="15.75" customHeight="1">
      <c r="A208" s="19"/>
      <c r="B208" s="20"/>
      <c r="C208" s="20"/>
      <c r="D208" s="19"/>
      <c r="E208" s="19"/>
      <c r="F208" s="19"/>
      <c r="G208" s="21"/>
      <c r="H208" s="20"/>
      <c r="I208" s="20"/>
      <c r="J208" s="20"/>
      <c r="K208" s="19"/>
      <c r="L208" s="22"/>
      <c r="M208" s="20"/>
    </row>
    <row r="209" ht="15.75" customHeight="1">
      <c r="A209" s="19"/>
      <c r="B209" s="20"/>
      <c r="C209" s="20"/>
      <c r="D209" s="19"/>
      <c r="E209" s="19"/>
      <c r="F209" s="19"/>
      <c r="G209" s="21"/>
      <c r="H209" s="20"/>
      <c r="I209" s="20"/>
      <c r="J209" s="20"/>
      <c r="K209" s="19"/>
      <c r="L209" s="22"/>
      <c r="M209" s="20"/>
    </row>
    <row r="210" ht="15.75" customHeight="1">
      <c r="A210" s="19"/>
      <c r="B210" s="20"/>
      <c r="C210" s="20"/>
      <c r="D210" s="19"/>
      <c r="E210" s="19"/>
      <c r="F210" s="19"/>
      <c r="G210" s="21"/>
      <c r="H210" s="20"/>
      <c r="I210" s="20"/>
      <c r="J210" s="20"/>
      <c r="K210" s="19"/>
      <c r="L210" s="22"/>
      <c r="M210" s="20"/>
    </row>
    <row r="211" ht="15.75" customHeight="1">
      <c r="A211" s="19"/>
      <c r="B211" s="20"/>
      <c r="C211" s="20"/>
      <c r="D211" s="19"/>
      <c r="E211" s="19"/>
      <c r="F211" s="19"/>
      <c r="G211" s="21"/>
      <c r="H211" s="20"/>
      <c r="I211" s="20"/>
      <c r="J211" s="20"/>
      <c r="K211" s="19"/>
      <c r="L211" s="22"/>
      <c r="M211" s="20"/>
    </row>
    <row r="212" ht="15.75" customHeight="1">
      <c r="A212" s="19"/>
      <c r="B212" s="20"/>
      <c r="C212" s="20"/>
      <c r="D212" s="19"/>
      <c r="E212" s="19"/>
      <c r="F212" s="19"/>
      <c r="G212" s="21"/>
      <c r="H212" s="20"/>
      <c r="I212" s="20"/>
      <c r="J212" s="20"/>
      <c r="K212" s="19"/>
      <c r="L212" s="22"/>
      <c r="M212" s="20"/>
    </row>
    <row r="213" ht="15.75" customHeight="1">
      <c r="A213" s="19"/>
      <c r="B213" s="20"/>
      <c r="C213" s="20"/>
      <c r="D213" s="19"/>
      <c r="E213" s="19"/>
      <c r="F213" s="19"/>
      <c r="G213" s="21"/>
      <c r="H213" s="20"/>
      <c r="I213" s="20"/>
      <c r="J213" s="20"/>
      <c r="K213" s="19"/>
      <c r="L213" s="22"/>
      <c r="M213" s="20"/>
    </row>
    <row r="214" ht="15.75" customHeight="1">
      <c r="A214" s="19"/>
      <c r="B214" s="20"/>
      <c r="C214" s="20"/>
      <c r="D214" s="19"/>
      <c r="E214" s="19"/>
      <c r="F214" s="19"/>
      <c r="G214" s="21"/>
      <c r="H214" s="20"/>
      <c r="I214" s="20"/>
      <c r="J214" s="20"/>
      <c r="K214" s="19"/>
      <c r="L214" s="22"/>
      <c r="M214" s="20"/>
    </row>
    <row r="215" ht="15.75" customHeight="1">
      <c r="A215" s="19"/>
      <c r="B215" s="20"/>
      <c r="C215" s="20"/>
      <c r="D215" s="19"/>
      <c r="E215" s="19"/>
      <c r="F215" s="19"/>
      <c r="G215" s="21"/>
      <c r="H215" s="20"/>
      <c r="I215" s="20"/>
      <c r="J215" s="20"/>
      <c r="K215" s="19"/>
      <c r="L215" s="22"/>
      <c r="M215" s="20"/>
    </row>
    <row r="216" ht="15.75" customHeight="1">
      <c r="A216" s="19"/>
      <c r="B216" s="20"/>
      <c r="C216" s="20"/>
      <c r="D216" s="19"/>
      <c r="E216" s="19"/>
      <c r="F216" s="19"/>
      <c r="G216" s="21"/>
      <c r="H216" s="20"/>
      <c r="I216" s="20"/>
      <c r="J216" s="20"/>
      <c r="K216" s="19"/>
      <c r="L216" s="22"/>
      <c r="M216" s="20"/>
    </row>
    <row r="217" ht="15.75" customHeight="1">
      <c r="A217" s="19"/>
      <c r="B217" s="20"/>
      <c r="C217" s="20"/>
      <c r="D217" s="19"/>
      <c r="E217" s="19"/>
      <c r="F217" s="19"/>
      <c r="G217" s="21"/>
      <c r="H217" s="20"/>
      <c r="I217" s="20"/>
      <c r="J217" s="20"/>
      <c r="K217" s="19"/>
      <c r="L217" s="22"/>
      <c r="M217" s="20"/>
    </row>
    <row r="218" ht="15.75" customHeight="1">
      <c r="A218" s="19"/>
      <c r="B218" s="20"/>
      <c r="C218" s="20"/>
      <c r="D218" s="19"/>
      <c r="E218" s="19"/>
      <c r="F218" s="19"/>
      <c r="G218" s="21"/>
      <c r="H218" s="20"/>
      <c r="I218" s="20"/>
      <c r="J218" s="20"/>
      <c r="K218" s="19"/>
      <c r="L218" s="22"/>
      <c r="M218" s="20"/>
    </row>
    <row r="219" ht="15.75" customHeight="1">
      <c r="A219" s="19"/>
      <c r="B219" s="20"/>
      <c r="C219" s="20"/>
      <c r="D219" s="19"/>
      <c r="E219" s="19"/>
      <c r="F219" s="19"/>
      <c r="G219" s="21"/>
      <c r="H219" s="20"/>
      <c r="I219" s="20"/>
      <c r="J219" s="20"/>
      <c r="K219" s="19"/>
      <c r="L219" s="22"/>
      <c r="M219" s="20"/>
    </row>
    <row r="220" ht="15.75" customHeight="1">
      <c r="A220" s="19"/>
      <c r="B220" s="20"/>
      <c r="C220" s="20"/>
      <c r="D220" s="19"/>
      <c r="E220" s="19"/>
      <c r="F220" s="19"/>
      <c r="G220" s="21"/>
      <c r="H220" s="20"/>
      <c r="I220" s="20"/>
      <c r="J220" s="20"/>
      <c r="K220" s="19"/>
      <c r="L220" s="22"/>
      <c r="M220" s="20"/>
    </row>
    <row r="221" ht="15.75" customHeight="1">
      <c r="A221" s="19"/>
      <c r="B221" s="20"/>
      <c r="C221" s="20"/>
      <c r="D221" s="19"/>
      <c r="E221" s="19"/>
      <c r="F221" s="19"/>
      <c r="G221" s="21"/>
      <c r="H221" s="20"/>
      <c r="I221" s="20"/>
      <c r="J221" s="20"/>
      <c r="K221" s="19"/>
      <c r="L221" s="22"/>
      <c r="M221" s="20"/>
    </row>
    <row r="222" ht="15.75" customHeight="1">
      <c r="A222" s="19"/>
      <c r="B222" s="20"/>
      <c r="C222" s="20"/>
      <c r="D222" s="19"/>
      <c r="E222" s="19"/>
      <c r="F222" s="19"/>
      <c r="G222" s="21"/>
      <c r="H222" s="20"/>
      <c r="I222" s="20"/>
      <c r="J222" s="20"/>
      <c r="K222" s="19"/>
      <c r="L222" s="22"/>
      <c r="M222" s="20"/>
    </row>
    <row r="223" ht="15.75" customHeight="1">
      <c r="A223" s="19"/>
      <c r="B223" s="20"/>
      <c r="C223" s="20"/>
      <c r="D223" s="19"/>
      <c r="E223" s="19"/>
      <c r="F223" s="19"/>
      <c r="G223" s="21"/>
      <c r="H223" s="20"/>
      <c r="I223" s="20"/>
      <c r="J223" s="20"/>
      <c r="K223" s="19"/>
      <c r="L223" s="22"/>
      <c r="M223" s="20"/>
    </row>
    <row r="224" ht="15.75" customHeight="1">
      <c r="A224" s="19"/>
      <c r="B224" s="20"/>
      <c r="C224" s="20"/>
      <c r="D224" s="19"/>
      <c r="E224" s="19"/>
      <c r="F224" s="19"/>
      <c r="G224" s="21"/>
      <c r="H224" s="20"/>
      <c r="I224" s="20"/>
      <c r="J224" s="20"/>
      <c r="K224" s="19"/>
      <c r="L224" s="22"/>
      <c r="M224" s="20"/>
    </row>
    <row r="225" ht="15.75" customHeight="1">
      <c r="A225" s="19"/>
      <c r="B225" s="20"/>
      <c r="C225" s="20"/>
      <c r="D225" s="19"/>
      <c r="E225" s="19"/>
      <c r="F225" s="19"/>
      <c r="G225" s="21"/>
      <c r="H225" s="20"/>
      <c r="I225" s="20"/>
      <c r="J225" s="20"/>
      <c r="K225" s="19"/>
      <c r="L225" s="22"/>
      <c r="M225" s="20"/>
    </row>
    <row r="226" ht="15.75" customHeight="1">
      <c r="A226" s="19"/>
      <c r="B226" s="20"/>
      <c r="C226" s="20"/>
      <c r="D226" s="19"/>
      <c r="E226" s="19"/>
      <c r="F226" s="19"/>
      <c r="G226" s="21"/>
      <c r="H226" s="20"/>
      <c r="I226" s="20"/>
      <c r="J226" s="20"/>
      <c r="K226" s="19"/>
      <c r="L226" s="22"/>
      <c r="M226" s="20"/>
    </row>
    <row r="227" ht="15.75" customHeight="1">
      <c r="A227" s="19"/>
      <c r="B227" s="20"/>
      <c r="C227" s="20"/>
      <c r="D227" s="19"/>
      <c r="E227" s="19"/>
      <c r="F227" s="19"/>
      <c r="G227" s="21"/>
      <c r="H227" s="20"/>
      <c r="I227" s="20"/>
      <c r="J227" s="20"/>
      <c r="K227" s="19"/>
      <c r="L227" s="22"/>
      <c r="M227" s="20"/>
    </row>
    <row r="228" ht="15.75" customHeight="1">
      <c r="A228" s="19"/>
      <c r="B228" s="20"/>
      <c r="C228" s="20"/>
      <c r="D228" s="19"/>
      <c r="E228" s="19"/>
      <c r="F228" s="19"/>
      <c r="G228" s="21"/>
      <c r="H228" s="20"/>
      <c r="I228" s="20"/>
      <c r="J228" s="20"/>
      <c r="K228" s="19"/>
      <c r="L228" s="22"/>
      <c r="M228" s="20"/>
    </row>
    <row r="229" ht="15.75" customHeight="1">
      <c r="A229" s="19"/>
      <c r="B229" s="20"/>
      <c r="C229" s="20"/>
      <c r="D229" s="19"/>
      <c r="E229" s="19"/>
      <c r="F229" s="19"/>
      <c r="G229" s="21"/>
      <c r="H229" s="20"/>
      <c r="I229" s="20"/>
      <c r="J229" s="20"/>
      <c r="K229" s="19"/>
      <c r="L229" s="22"/>
      <c r="M229" s="20"/>
    </row>
    <row r="230" ht="15.75" customHeight="1">
      <c r="A230" s="19"/>
      <c r="B230" s="20"/>
      <c r="C230" s="20"/>
      <c r="D230" s="19"/>
      <c r="E230" s="19"/>
      <c r="F230" s="19"/>
      <c r="G230" s="21"/>
      <c r="H230" s="20"/>
      <c r="I230" s="20"/>
      <c r="J230" s="20"/>
      <c r="K230" s="19"/>
      <c r="L230" s="22"/>
      <c r="M230" s="20"/>
    </row>
    <row r="231" ht="15.75" customHeight="1">
      <c r="A231" s="19"/>
      <c r="B231" s="20"/>
      <c r="C231" s="20"/>
      <c r="D231" s="19"/>
      <c r="E231" s="19"/>
      <c r="F231" s="19"/>
      <c r="G231" s="21"/>
      <c r="H231" s="20"/>
      <c r="I231" s="20"/>
      <c r="J231" s="20"/>
      <c r="K231" s="19"/>
      <c r="L231" s="22"/>
      <c r="M231" s="20"/>
    </row>
    <row r="232" ht="15.75" customHeight="1">
      <c r="A232" s="19"/>
      <c r="B232" s="20"/>
      <c r="C232" s="20"/>
      <c r="D232" s="19"/>
      <c r="E232" s="19"/>
      <c r="F232" s="19"/>
      <c r="G232" s="21"/>
      <c r="H232" s="20"/>
      <c r="I232" s="20"/>
      <c r="J232" s="20"/>
      <c r="K232" s="19"/>
      <c r="L232" s="22"/>
      <c r="M232" s="20"/>
    </row>
    <row r="233" ht="15.75" customHeight="1">
      <c r="A233" s="19"/>
      <c r="B233" s="20"/>
      <c r="C233" s="20"/>
      <c r="D233" s="19"/>
      <c r="E233" s="19"/>
      <c r="F233" s="19"/>
      <c r="G233" s="21"/>
      <c r="H233" s="20"/>
      <c r="I233" s="20"/>
      <c r="J233" s="20"/>
      <c r="K233" s="19"/>
      <c r="L233" s="22"/>
      <c r="M233" s="20"/>
    </row>
    <row r="234" ht="15.75" customHeight="1">
      <c r="A234" s="19"/>
      <c r="B234" s="20"/>
      <c r="C234" s="20"/>
      <c r="D234" s="19"/>
      <c r="E234" s="19"/>
      <c r="F234" s="19"/>
      <c r="G234" s="21"/>
      <c r="H234" s="20"/>
      <c r="I234" s="20"/>
      <c r="J234" s="20"/>
      <c r="K234" s="19"/>
      <c r="L234" s="22"/>
      <c r="M234" s="20"/>
    </row>
    <row r="235" ht="15.75" customHeight="1">
      <c r="D235" s="37"/>
      <c r="E235" s="37"/>
      <c r="F235" s="37"/>
      <c r="G235" s="37"/>
      <c r="K235" s="37"/>
    </row>
    <row r="236" ht="15.75" customHeight="1">
      <c r="D236" s="37"/>
      <c r="E236" s="37"/>
      <c r="F236" s="37"/>
      <c r="G236" s="37"/>
      <c r="K236" s="37"/>
    </row>
    <row r="237" ht="15.75" customHeight="1">
      <c r="D237" s="37"/>
      <c r="E237" s="37"/>
      <c r="F237" s="37"/>
      <c r="G237" s="37"/>
      <c r="K237" s="37"/>
    </row>
    <row r="238" ht="15.75" customHeight="1">
      <c r="D238" s="37"/>
      <c r="E238" s="37"/>
      <c r="F238" s="37"/>
      <c r="G238" s="37"/>
      <c r="K238" s="37"/>
    </row>
    <row r="239" ht="15.75" customHeight="1">
      <c r="D239" s="37"/>
      <c r="E239" s="37"/>
      <c r="F239" s="37"/>
      <c r="G239" s="37"/>
      <c r="K239" s="37"/>
    </row>
    <row r="240" ht="15.75" customHeight="1">
      <c r="D240" s="37"/>
      <c r="E240" s="37"/>
      <c r="F240" s="37"/>
      <c r="G240" s="37"/>
      <c r="K240" s="37"/>
    </row>
    <row r="241" ht="15.75" customHeight="1">
      <c r="D241" s="37"/>
      <c r="E241" s="37"/>
      <c r="F241" s="37"/>
      <c r="G241" s="37"/>
      <c r="K241" s="37"/>
    </row>
    <row r="242" ht="15.75" customHeight="1">
      <c r="D242" s="37"/>
      <c r="E242" s="37"/>
      <c r="F242" s="37"/>
      <c r="G242" s="37"/>
      <c r="K242" s="37"/>
    </row>
    <row r="243" ht="15.75" customHeight="1">
      <c r="D243" s="37"/>
      <c r="E243" s="37"/>
      <c r="F243" s="37"/>
      <c r="G243" s="37"/>
      <c r="K243" s="37"/>
    </row>
    <row r="244" ht="15.75" customHeight="1">
      <c r="D244" s="37"/>
      <c r="E244" s="37"/>
      <c r="F244" s="37"/>
      <c r="G244" s="37"/>
      <c r="K244" s="37"/>
    </row>
    <row r="245" ht="15.75" customHeight="1">
      <c r="D245" s="37"/>
      <c r="E245" s="37"/>
      <c r="F245" s="37"/>
      <c r="G245" s="37"/>
      <c r="K245" s="37"/>
    </row>
    <row r="246" ht="15.75" customHeight="1">
      <c r="D246" s="37"/>
      <c r="E246" s="37"/>
      <c r="F246" s="37"/>
      <c r="G246" s="37"/>
      <c r="K246" s="37"/>
    </row>
    <row r="247" ht="15.75" customHeight="1">
      <c r="D247" s="37"/>
      <c r="E247" s="37"/>
      <c r="F247" s="37"/>
      <c r="G247" s="37"/>
      <c r="K247" s="37"/>
    </row>
    <row r="248" ht="15.75" customHeight="1">
      <c r="D248" s="37"/>
      <c r="E248" s="37"/>
      <c r="F248" s="37"/>
      <c r="G248" s="37"/>
      <c r="K248" s="37"/>
    </row>
    <row r="249" ht="15.75" customHeight="1">
      <c r="D249" s="37"/>
      <c r="E249" s="37"/>
      <c r="F249" s="37"/>
      <c r="G249" s="37"/>
      <c r="K249" s="37"/>
    </row>
    <row r="250" ht="15.75" customHeight="1">
      <c r="D250" s="37"/>
      <c r="E250" s="37"/>
      <c r="F250" s="37"/>
      <c r="G250" s="37"/>
      <c r="K250" s="37"/>
    </row>
    <row r="251" ht="15.75" customHeight="1">
      <c r="D251" s="37"/>
      <c r="E251" s="37"/>
      <c r="F251" s="37"/>
      <c r="G251" s="37"/>
      <c r="K251" s="37"/>
    </row>
    <row r="252" ht="15.75" customHeight="1">
      <c r="D252" s="37"/>
      <c r="E252" s="37"/>
      <c r="F252" s="37"/>
      <c r="G252" s="37"/>
      <c r="K252" s="37"/>
    </row>
    <row r="253" ht="15.75" customHeight="1">
      <c r="D253" s="37"/>
      <c r="E253" s="37"/>
      <c r="F253" s="37"/>
      <c r="G253" s="37"/>
      <c r="K253" s="37"/>
    </row>
    <row r="254" ht="15.75" customHeight="1">
      <c r="D254" s="37"/>
      <c r="E254" s="37"/>
      <c r="F254" s="37"/>
      <c r="G254" s="37"/>
      <c r="K254" s="37"/>
    </row>
    <row r="255" ht="15.75" customHeight="1">
      <c r="D255" s="37"/>
      <c r="E255" s="37"/>
      <c r="F255" s="37"/>
      <c r="G255" s="37"/>
      <c r="K255" s="37"/>
    </row>
    <row r="256" ht="15.75" customHeight="1">
      <c r="D256" s="37"/>
      <c r="E256" s="37"/>
      <c r="F256" s="37"/>
      <c r="G256" s="37"/>
      <c r="K256" s="37"/>
    </row>
    <row r="257" ht="15.75" customHeight="1">
      <c r="D257" s="37"/>
      <c r="E257" s="37"/>
      <c r="F257" s="37"/>
      <c r="G257" s="37"/>
      <c r="K257" s="37"/>
    </row>
    <row r="258" ht="15.75" customHeight="1">
      <c r="D258" s="37"/>
      <c r="E258" s="37"/>
      <c r="F258" s="37"/>
      <c r="G258" s="37"/>
      <c r="K258" s="37"/>
    </row>
    <row r="259" ht="15.75" customHeight="1">
      <c r="D259" s="37"/>
      <c r="E259" s="37"/>
      <c r="F259" s="37"/>
      <c r="G259" s="37"/>
      <c r="K259" s="37"/>
    </row>
    <row r="260" ht="15.75" customHeight="1">
      <c r="D260" s="37"/>
      <c r="E260" s="37"/>
      <c r="F260" s="37"/>
      <c r="G260" s="37"/>
      <c r="K260" s="37"/>
    </row>
    <row r="261" ht="15.75" customHeight="1">
      <c r="D261" s="37"/>
      <c r="E261" s="37"/>
      <c r="F261" s="37"/>
      <c r="G261" s="37"/>
      <c r="K261" s="37"/>
    </row>
    <row r="262" ht="15.75" customHeight="1">
      <c r="D262" s="37"/>
      <c r="E262" s="37"/>
      <c r="F262" s="37"/>
      <c r="G262" s="37"/>
      <c r="K262" s="37"/>
    </row>
    <row r="263" ht="15.75" customHeight="1">
      <c r="D263" s="37"/>
      <c r="E263" s="37"/>
      <c r="F263" s="37"/>
      <c r="G263" s="37"/>
      <c r="K263" s="37"/>
    </row>
    <row r="264" ht="15.75" customHeight="1">
      <c r="D264" s="37"/>
      <c r="E264" s="37"/>
      <c r="F264" s="37"/>
      <c r="G264" s="37"/>
      <c r="K264" s="37"/>
    </row>
    <row r="265" ht="15.75" customHeight="1">
      <c r="D265" s="37"/>
      <c r="E265" s="37"/>
      <c r="F265" s="37"/>
      <c r="G265" s="37"/>
      <c r="K265" s="37"/>
    </row>
    <row r="266" ht="15.75" customHeight="1">
      <c r="D266" s="37"/>
      <c r="E266" s="37"/>
      <c r="F266" s="37"/>
      <c r="G266" s="37"/>
      <c r="K266" s="37"/>
    </row>
    <row r="267" ht="15.75" customHeight="1">
      <c r="D267" s="37"/>
      <c r="E267" s="37"/>
      <c r="F267" s="37"/>
      <c r="G267" s="37"/>
      <c r="K267" s="37"/>
    </row>
    <row r="268" ht="15.75" customHeight="1">
      <c r="D268" s="37"/>
      <c r="E268" s="37"/>
      <c r="F268" s="37"/>
      <c r="G268" s="37"/>
      <c r="K268" s="37"/>
    </row>
    <row r="269" ht="15.75" customHeight="1">
      <c r="D269" s="37"/>
      <c r="E269" s="37"/>
      <c r="F269" s="37"/>
      <c r="G269" s="37"/>
      <c r="K269" s="37"/>
    </row>
    <row r="270" ht="15.75" customHeight="1">
      <c r="D270" s="37"/>
      <c r="E270" s="37"/>
      <c r="F270" s="37"/>
      <c r="G270" s="37"/>
      <c r="K270" s="37"/>
    </row>
    <row r="271" ht="15.75" customHeight="1">
      <c r="D271" s="37"/>
      <c r="E271" s="37"/>
      <c r="F271" s="37"/>
      <c r="G271" s="37"/>
      <c r="K271" s="37"/>
    </row>
    <row r="272" ht="15.75" customHeight="1">
      <c r="D272" s="37"/>
      <c r="E272" s="37"/>
      <c r="F272" s="37"/>
      <c r="G272" s="37"/>
      <c r="K272" s="37"/>
    </row>
    <row r="273" ht="15.75" customHeight="1">
      <c r="D273" s="37"/>
      <c r="E273" s="37"/>
      <c r="F273" s="37"/>
      <c r="G273" s="37"/>
      <c r="K273" s="37"/>
    </row>
    <row r="274" ht="15.75" customHeight="1">
      <c r="D274" s="37"/>
      <c r="E274" s="37"/>
      <c r="F274" s="37"/>
      <c r="G274" s="37"/>
      <c r="K274" s="37"/>
    </row>
    <row r="275" ht="15.75" customHeight="1">
      <c r="D275" s="37"/>
      <c r="E275" s="37"/>
      <c r="F275" s="37"/>
      <c r="G275" s="37"/>
      <c r="K275" s="37"/>
    </row>
    <row r="276" ht="15.75" customHeight="1">
      <c r="D276" s="37"/>
      <c r="E276" s="37"/>
      <c r="F276" s="37"/>
      <c r="G276" s="37"/>
      <c r="K276" s="37"/>
    </row>
    <row r="277" ht="15.75" customHeight="1">
      <c r="D277" s="37"/>
      <c r="E277" s="37"/>
      <c r="F277" s="37"/>
      <c r="G277" s="37"/>
      <c r="K277" s="37"/>
    </row>
    <row r="278" ht="15.75" customHeight="1">
      <c r="D278" s="37"/>
      <c r="E278" s="37"/>
      <c r="F278" s="37"/>
      <c r="G278" s="37"/>
      <c r="K278" s="37"/>
    </row>
    <row r="279" ht="15.75" customHeight="1">
      <c r="D279" s="37"/>
      <c r="E279" s="37"/>
      <c r="F279" s="37"/>
      <c r="G279" s="37"/>
      <c r="K279" s="37"/>
    </row>
    <row r="280" ht="15.75" customHeight="1">
      <c r="D280" s="37"/>
      <c r="E280" s="37"/>
      <c r="F280" s="37"/>
      <c r="G280" s="37"/>
      <c r="K280" s="37"/>
    </row>
    <row r="281" ht="15.75" customHeight="1">
      <c r="D281" s="37"/>
      <c r="E281" s="37"/>
      <c r="F281" s="37"/>
      <c r="G281" s="37"/>
      <c r="K281" s="37"/>
    </row>
    <row r="282" ht="15.75" customHeight="1">
      <c r="D282" s="37"/>
      <c r="E282" s="37"/>
      <c r="F282" s="37"/>
      <c r="G282" s="37"/>
      <c r="K282" s="37"/>
    </row>
    <row r="283" ht="15.75" customHeight="1">
      <c r="D283" s="37"/>
      <c r="E283" s="37"/>
      <c r="F283" s="37"/>
      <c r="G283" s="37"/>
      <c r="K283" s="37"/>
    </row>
    <row r="284" ht="15.75" customHeight="1">
      <c r="D284" s="37"/>
      <c r="E284" s="37"/>
      <c r="F284" s="37"/>
      <c r="G284" s="37"/>
      <c r="K284" s="37"/>
    </row>
    <row r="285" ht="15.75" customHeight="1">
      <c r="D285" s="37"/>
      <c r="E285" s="37"/>
      <c r="F285" s="37"/>
      <c r="G285" s="37"/>
      <c r="K285" s="37"/>
    </row>
    <row r="286" ht="15.75" customHeight="1">
      <c r="D286" s="37"/>
      <c r="E286" s="37"/>
      <c r="F286" s="37"/>
      <c r="G286" s="37"/>
      <c r="K286" s="37"/>
    </row>
    <row r="287" ht="15.75" customHeight="1">
      <c r="D287" s="37"/>
      <c r="E287" s="37"/>
      <c r="F287" s="37"/>
      <c r="G287" s="37"/>
      <c r="K287" s="37"/>
    </row>
    <row r="288" ht="15.75" customHeight="1">
      <c r="D288" s="37"/>
      <c r="E288" s="37"/>
      <c r="F288" s="37"/>
      <c r="G288" s="37"/>
      <c r="K288" s="37"/>
    </row>
    <row r="289" ht="15.75" customHeight="1">
      <c r="D289" s="37"/>
      <c r="E289" s="37"/>
      <c r="F289" s="37"/>
      <c r="G289" s="37"/>
      <c r="K289" s="37"/>
    </row>
    <row r="290" ht="15.75" customHeight="1">
      <c r="D290" s="37"/>
      <c r="E290" s="37"/>
      <c r="F290" s="37"/>
      <c r="G290" s="37"/>
      <c r="K290" s="37"/>
    </row>
    <row r="291" ht="15.75" customHeight="1">
      <c r="D291" s="37"/>
      <c r="E291" s="37"/>
      <c r="F291" s="37"/>
      <c r="G291" s="37"/>
      <c r="K291" s="37"/>
    </row>
    <row r="292" ht="15.75" customHeight="1">
      <c r="D292" s="37"/>
      <c r="E292" s="37"/>
      <c r="F292" s="37"/>
      <c r="G292" s="37"/>
      <c r="K292" s="37"/>
    </row>
    <row r="293" ht="15.75" customHeight="1">
      <c r="D293" s="37"/>
      <c r="E293" s="37"/>
      <c r="F293" s="37"/>
      <c r="G293" s="37"/>
      <c r="K293" s="37"/>
    </row>
    <row r="294" ht="15.75" customHeight="1">
      <c r="D294" s="37"/>
      <c r="E294" s="37"/>
      <c r="F294" s="37"/>
      <c r="G294" s="37"/>
      <c r="K294" s="37"/>
    </row>
    <row r="295" ht="15.75" customHeight="1">
      <c r="D295" s="37"/>
      <c r="E295" s="37"/>
      <c r="F295" s="37"/>
      <c r="G295" s="37"/>
      <c r="K295" s="37"/>
    </row>
    <row r="296" ht="15.75" customHeight="1">
      <c r="D296" s="37"/>
      <c r="E296" s="37"/>
      <c r="F296" s="37"/>
      <c r="G296" s="37"/>
      <c r="K296" s="37"/>
    </row>
    <row r="297" ht="15.75" customHeight="1">
      <c r="D297" s="37"/>
      <c r="E297" s="37"/>
      <c r="F297" s="37"/>
      <c r="G297" s="37"/>
      <c r="K297" s="37"/>
    </row>
    <row r="298" ht="15.75" customHeight="1">
      <c r="D298" s="37"/>
      <c r="E298" s="37"/>
      <c r="F298" s="37"/>
      <c r="G298" s="37"/>
      <c r="K298" s="37"/>
    </row>
    <row r="299" ht="15.75" customHeight="1">
      <c r="D299" s="37"/>
      <c r="E299" s="37"/>
      <c r="F299" s="37"/>
      <c r="G299" s="37"/>
      <c r="K299" s="37"/>
    </row>
    <row r="300" ht="15.75" customHeight="1">
      <c r="D300" s="37"/>
      <c r="E300" s="37"/>
      <c r="F300" s="37"/>
      <c r="G300" s="37"/>
      <c r="K300" s="37"/>
    </row>
    <row r="301" ht="15.75" customHeight="1">
      <c r="D301" s="37"/>
      <c r="E301" s="37"/>
      <c r="F301" s="37"/>
      <c r="G301" s="37"/>
      <c r="K301" s="37"/>
    </row>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conditionalFormatting sqref="K2:K1001">
    <cfRule type="cellIs" dxfId="0" priority="1" operator="equal">
      <formula>"Aprobado"</formula>
    </cfRule>
  </conditionalFormatting>
  <conditionalFormatting sqref="K2:K1001">
    <cfRule type="cellIs" dxfId="1" priority="2" operator="equal">
      <formula>"Fallido"</formula>
    </cfRule>
  </conditionalFormatting>
  <conditionalFormatting sqref="K2:K1001">
    <cfRule type="cellIs" dxfId="2" priority="3" operator="equal">
      <formula>"En progreso"</formula>
    </cfRule>
  </conditionalFormatting>
  <conditionalFormatting sqref="K2:K1001">
    <cfRule type="cellIs" dxfId="3" priority="4" operator="equal">
      <formula>"Bloqueado"</formula>
    </cfRule>
  </conditionalFormatting>
  <conditionalFormatting sqref="K2:K1001">
    <cfRule type="cellIs" dxfId="4" priority="5" operator="equal">
      <formula>"Pendiente"</formula>
    </cfRule>
  </conditionalFormatting>
  <conditionalFormatting sqref="K2:K1001">
    <cfRule type="cellIs" dxfId="5" priority="6" operator="equal">
      <formula>"No aplica"</formula>
    </cfRule>
  </conditionalFormatting>
  <dataValidations>
    <dataValidation type="list" allowBlank="1" sqref="G2:G301">
      <formula1>Listas!$E$2:$E$20</formula1>
    </dataValidation>
    <dataValidation type="list" allowBlank="1" sqref="E2:E301">
      <formula1>Listas!$C$2:$C$20</formula1>
    </dataValidation>
    <dataValidation type="list" allowBlank="1" sqref="F2:F301">
      <formula1>Listas!$D$2:$D$20</formula1>
    </dataValidation>
    <dataValidation type="list" allowBlank="1" sqref="K2:K301">
      <formula1>Listas!$B$2:$B$20</formula1>
    </dataValidation>
    <dataValidation type="list" allowBlank="1" sqref="D2:D301">
      <formula1>Listas!$A$2:$A$20</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24.0"/>
    <col customWidth="1" min="3" max="3" width="12.0"/>
    <col customWidth="1" min="4" max="6" width="8.71"/>
  </cols>
  <sheetData>
    <row r="2">
      <c r="B2" s="2" t="s">
        <v>1</v>
      </c>
    </row>
    <row r="3">
      <c r="B3" s="3" t="s">
        <v>3</v>
      </c>
    </row>
    <row r="5">
      <c r="B5" s="6" t="s">
        <v>6</v>
      </c>
      <c r="C5" s="6">
        <f>COUNTA('Plan de Pruebas'!$A$2:$A$301)</f>
        <v>63</v>
      </c>
    </row>
    <row r="7">
      <c r="B7" s="11" t="s">
        <v>35</v>
      </c>
      <c r="C7" s="12" t="s">
        <v>46</v>
      </c>
    </row>
    <row r="8">
      <c r="B8" s="14" t="s">
        <v>22</v>
      </c>
      <c r="C8" s="16">
        <f>COUNTIF('Plan de Pruebas'!$K$2:$K$301,$B$8)</f>
        <v>0</v>
      </c>
    </row>
    <row r="9">
      <c r="B9" s="14" t="s">
        <v>33</v>
      </c>
      <c r="C9" s="16">
        <f>COUNTIF('Plan de Pruebas'!$K$2:$K$301,$B$9)</f>
        <v>0</v>
      </c>
    </row>
    <row r="10">
      <c r="B10" s="14" t="s">
        <v>43</v>
      </c>
      <c r="C10" s="16">
        <f>COUNTIF('Plan de Pruebas'!$K$2:$K$301,$B$10)</f>
        <v>63</v>
      </c>
    </row>
    <row r="11">
      <c r="B11" s="14" t="s">
        <v>53</v>
      </c>
      <c r="C11" s="16">
        <f>COUNTIF('Plan de Pruebas'!$K$2:$K$301,$B$11)</f>
        <v>0</v>
      </c>
    </row>
    <row r="12">
      <c r="B12" s="14" t="s">
        <v>60</v>
      </c>
      <c r="C12" s="16">
        <f>COUNTIF('Plan de Pruebas'!$K$2:$K$301,$B$12)</f>
        <v>0</v>
      </c>
    </row>
    <row r="13">
      <c r="B13" s="14" t="s">
        <v>68</v>
      </c>
      <c r="C13" s="16">
        <f>COUNTIF('Plan de Pruebas'!$K$2:$K$301,$B$13)</f>
        <v>0</v>
      </c>
    </row>
    <row r="15">
      <c r="B15" s="11" t="s">
        <v>83</v>
      </c>
      <c r="C15" s="12" t="s">
        <v>46</v>
      </c>
    </row>
    <row r="16">
      <c r="B16" s="14" t="s">
        <v>18</v>
      </c>
      <c r="C16" s="16">
        <f>COUNTIF('Plan de Pruebas'!$D$2:$D$301,$B$16)</f>
        <v>11</v>
      </c>
    </row>
    <row r="17">
      <c r="B17" s="14" t="s">
        <v>32</v>
      </c>
      <c r="C17" s="16">
        <f>COUNTIF('Plan de Pruebas'!$D$2:$D$301,$B$17)</f>
        <v>18</v>
      </c>
    </row>
    <row r="18">
      <c r="B18" s="14" t="s">
        <v>41</v>
      </c>
      <c r="C18" s="16">
        <f>COUNTIF('Plan de Pruebas'!$D$2:$D$301,$B$18)</f>
        <v>11</v>
      </c>
    </row>
    <row r="19">
      <c r="B19" s="14" t="s">
        <v>51</v>
      </c>
      <c r="C19" s="16">
        <f>COUNTIF('Plan de Pruebas'!$D$2:$D$301,$B$19)</f>
        <v>9</v>
      </c>
    </row>
    <row r="20">
      <c r="B20" s="14" t="s">
        <v>58</v>
      </c>
      <c r="C20" s="16">
        <f>COUNTIF('Plan de Pruebas'!$D$2:$D$301,$B$20)</f>
        <v>9</v>
      </c>
    </row>
    <row r="21" ht="15.75" customHeight="1">
      <c r="B21" s="14" t="s">
        <v>66</v>
      </c>
      <c r="C21" s="16">
        <f>COUNTIF('Plan de Pruebas'!$D$2:$D$301,$B$21)</f>
        <v>5</v>
      </c>
    </row>
    <row r="22" ht="15.75" customHeight="1"/>
    <row r="23" ht="15.75" customHeight="1">
      <c r="B23" s="11" t="s">
        <v>109</v>
      </c>
      <c r="C23" s="12" t="s">
        <v>46</v>
      </c>
    </row>
    <row r="24" ht="15.75" customHeight="1">
      <c r="B24" s="14" t="s">
        <v>24</v>
      </c>
      <c r="C24" s="16">
        <f>COUNTIF('Plan de Pruebas'!$E$2:$E$301,$B$24)</f>
        <v>46</v>
      </c>
    </row>
    <row r="25" ht="15.75" customHeight="1">
      <c r="B25" s="14" t="s">
        <v>36</v>
      </c>
      <c r="C25" s="16">
        <f>COUNTIF('Plan de Pruebas'!$E$2:$E$301,$B$25)</f>
        <v>17</v>
      </c>
    </row>
    <row r="26" ht="15.75" customHeight="1">
      <c r="B26" s="14" t="s">
        <v>44</v>
      </c>
      <c r="C26" s="16">
        <f>COUNTIF('Plan de Pruebas'!$E$2:$E$301,$B$26)</f>
        <v>0</v>
      </c>
    </row>
    <row r="27" ht="15.75" customHeight="1">
      <c r="B27" s="14" t="s">
        <v>54</v>
      </c>
      <c r="C27" s="16">
        <f>COUNTIF('Plan de Pruebas'!$E$2:$E$301,$B$27)</f>
        <v>0</v>
      </c>
    </row>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5" width="20.0"/>
    <col customWidth="1" min="6" max="7" width="8.71"/>
  </cols>
  <sheetData>
    <row r="1">
      <c r="A1" s="7" t="s">
        <v>7</v>
      </c>
      <c r="B1" s="7" t="s">
        <v>10</v>
      </c>
      <c r="C1" s="7" t="s">
        <v>11</v>
      </c>
      <c r="D1" s="7" t="s">
        <v>12</v>
      </c>
      <c r="E1" s="7" t="s">
        <v>14</v>
      </c>
    </row>
    <row r="2">
      <c r="A2" s="10" t="s">
        <v>18</v>
      </c>
      <c r="B2" s="10" t="s">
        <v>22</v>
      </c>
      <c r="C2" s="10" t="s">
        <v>24</v>
      </c>
      <c r="D2" s="10" t="s">
        <v>26</v>
      </c>
      <c r="E2" s="10" t="s">
        <v>27</v>
      </c>
      <c r="G2" s="3" t="s">
        <v>29</v>
      </c>
    </row>
    <row r="3">
      <c r="A3" s="10" t="s">
        <v>32</v>
      </c>
      <c r="B3" s="10" t="s">
        <v>33</v>
      </c>
      <c r="C3" s="10" t="s">
        <v>36</v>
      </c>
      <c r="D3" s="10" t="s">
        <v>37</v>
      </c>
      <c r="E3" s="10" t="s">
        <v>38</v>
      </c>
    </row>
    <row r="4">
      <c r="A4" s="10" t="s">
        <v>41</v>
      </c>
      <c r="B4" s="10" t="s">
        <v>43</v>
      </c>
      <c r="C4" s="10" t="s">
        <v>44</v>
      </c>
      <c r="D4" s="10" t="s">
        <v>47</v>
      </c>
      <c r="E4" s="10" t="s">
        <v>48</v>
      </c>
    </row>
    <row r="5">
      <c r="A5" s="10" t="s">
        <v>51</v>
      </c>
      <c r="B5" s="10" t="s">
        <v>53</v>
      </c>
      <c r="C5" s="10" t="s">
        <v>54</v>
      </c>
      <c r="D5" s="10" t="s">
        <v>55</v>
      </c>
      <c r="E5" s="10" t="s">
        <v>56</v>
      </c>
    </row>
    <row r="6">
      <c r="A6" s="10" t="s">
        <v>58</v>
      </c>
      <c r="B6" s="10" t="s">
        <v>60</v>
      </c>
      <c r="D6" s="10" t="s">
        <v>62</v>
      </c>
      <c r="E6" s="10" t="s">
        <v>63</v>
      </c>
    </row>
    <row r="7">
      <c r="A7" s="10" t="s">
        <v>66</v>
      </c>
      <c r="B7" s="10" t="s">
        <v>68</v>
      </c>
      <c r="D7" s="10" t="s">
        <v>69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